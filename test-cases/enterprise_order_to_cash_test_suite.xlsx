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3"/>
  </bookViews>
  <sheets>
    <sheet name="Summary" sheetId="1" r:id="rId1"/>
    <sheet name="Setup_Admin" sheetId="2" r:id="rId2"/>
    <sheet name="Customers_CRM" sheetId="3" r:id="rId3"/>
    <sheet name="Sales_Orders" sheetId="4" r:id="rId4"/>
    <sheet name="Components_Pricing" sheetId="5" r:id="rId5"/>
    <sheet name="Financial_Config" sheetId="6" r:id="rId6"/>
    <sheet name="Payments_Recon" sheetId="7" r:id="rId7"/>
    <sheet name="Integrations_Reports" sheetId="8" r:id="rId8"/>
    <sheet name="End_to_End"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<sst xmlns="http://schemas.openxmlformats.org/spreadsheetml/2006/main" count="1167" uniqueCount="663">
  <si>
    <t>Enterprise Order-to-Cash - Manual Test Case Tracker</t>
  </si>
  <si>
    <t>Sanitized manual QA suite using the provided execution template for a configurable order-to-cash platform.</t>
  </si>
  <si>
    <t>Workbook Controls</t>
  </si>
  <si>
    <t>Default Status</t>
  </si>
  <si>
    <t>Not Run</t>
  </si>
  <si>
    <t>Default Priority</t>
  </si>
  <si>
    <t>Risk-based</t>
  </si>
  <si>
    <t>Portfolio Owner</t>
  </si>
  <si>
    <t>Candidate Portfolio</t>
  </si>
  <si>
    <t>Primary Domain</t>
  </si>
  <si>
    <t>Enterprise SaaS / Order-to-Cash QA</t>
  </si>
  <si>
    <t>Module Coverage</t>
  </si>
  <si>
    <t>Module</t>
  </si>
  <si>
    <t>Sheet Name</t>
  </si>
  <si>
    <t>Total Cases</t>
  </si>
  <si>
    <t>High Priority</t>
  </si>
  <si>
    <t>Negative Cases</t>
  </si>
  <si>
    <t>Automation Candidates</t>
  </si>
  <si>
    <t>System Setup &amp; Admin</t>
  </si>
  <si>
    <t>Setup_Admin</t>
  </si>
  <si>
    <t>Customers &amp; CRM</t>
  </si>
  <si>
    <t>Customers_CRM</t>
  </si>
  <si>
    <t>Sales &amp; Orders</t>
  </si>
  <si>
    <t>Sales_Orders</t>
  </si>
  <si>
    <t>Components &amp; Pricing</t>
  </si>
  <si>
    <t>Components_Pricing</t>
  </si>
  <si>
    <t>Financial Setup</t>
  </si>
  <si>
    <t>Financial_Config</t>
  </si>
  <si>
    <t>Payments &amp; Reconciliation</t>
  </si>
  <si>
    <t>Payments_Recon</t>
  </si>
  <si>
    <t>Integrations &amp; Reporting</t>
  </si>
  <si>
    <t>Integrations_Reports</t>
  </si>
  <si>
    <t>End-to-End</t>
  </si>
  <si>
    <t>End_to_End</t>
  </si>
  <si>
    <t>Total</t>
  </si>
  <si>
    <t>Execution Status</t>
  </si>
  <si>
    <t>Status</t>
  </si>
  <si>
    <t>Count</t>
  </si>
  <si>
    <t>Execution KPI</t>
  </si>
  <si>
    <t>Total Test Cases</t>
  </si>
  <si>
    <t>Pass</t>
  </si>
  <si>
    <t>Executed Cases</t>
  </si>
  <si>
    <t>Fail</t>
  </si>
  <si>
    <t>Pass Rate</t>
  </si>
  <si>
    <t>Blocked</t>
  </si>
  <si>
    <t>Fail Rate</t>
  </si>
  <si>
    <t>System Setup and Administration Test Cases</t>
  </si>
  <si>
    <t>Update the Status column during execution. Summary KPIs and counts refresh automatically.</t>
  </si>
  <si>
    <t>TC_ID</t>
  </si>
  <si>
    <t>Scenario</t>
  </si>
  <si>
    <t>Preconditions</t>
  </si>
  <si>
    <t>Steps</t>
  </si>
  <si>
    <t>Test Data</t>
  </si>
  <si>
    <t>Expected Result</t>
  </si>
  <si>
    <t>Priority</t>
  </si>
  <si>
    <t>Type</t>
  </si>
  <si>
    <t>Automation Candidate</t>
  </si>
  <si>
    <t>Notes</t>
  </si>
  <si>
    <t>TC-SET-001</t>
  </si>
  <si>
    <t>Verify a new location can be created with required details</t>
  </si>
  <si>
    <t>Admin user has access to setup</t>
  </si>
  <si>
    <t>1. Open Location Settings
2. Create a new location with required name, address, and timezone
3. Save the record</t>
  </si>
  <si>
    <t>Valid location master data</t>
  </si>
  <si>
    <t>Location saves successfully and appears in location lists and selectors</t>
  </si>
  <si>
    <t>High</t>
  </si>
  <si>
    <t>Positive</t>
  </si>
  <si>
    <t>Yes</t>
  </si>
  <si>
    <t>Req: SETUP-LOC-001 | Risk: location master data integrity</t>
  </si>
  <si>
    <t>TC-SET-002</t>
  </si>
  <si>
    <t>Verify duplicate location code or name is rejected</t>
  </si>
  <si>
    <t>Location with same code already exists</t>
  </si>
  <si>
    <t>1. Open Location Settings
2. Enter a duplicate location code or duplicate unique name
3. Save the record</t>
  </si>
  <si>
    <t>Existing location code/name</t>
  </si>
  <si>
    <t>Validation prevents duplicate setup and no second location is created</t>
  </si>
  <si>
    <t>Negative</t>
  </si>
  <si>
    <t>Req: SETUP-LOC-002 | Risk: duplicate posting location</t>
  </si>
  <si>
    <t>TC-SET-003</t>
  </si>
  <si>
    <t>Verify email from-address setup rejects invalid sender format</t>
  </si>
  <si>
    <t>Email domain setup page is available</t>
  </si>
  <si>
    <t>1. Open email sender settings
2. Enter an invalid from address format
3. Attempt to save</t>
  </si>
  <si>
    <t>Invalid sender address</t>
  </si>
  <si>
    <t>Invalid address is rejected with clear validation message</t>
  </si>
  <si>
    <t>Medium</t>
  </si>
  <si>
    <t>Req: SETUP-EMAIL-001 | Risk: failed customer notifications</t>
  </si>
  <si>
    <t>TC-SET-004</t>
  </si>
  <si>
    <t>Verify role-based access blocks non-finance users from financial setup pages</t>
  </si>
  <si>
    <t>User without finance setup permission exists</t>
  </si>
  <si>
    <t>1. Sign in as restricted user
2. Attempt to open financial setup pages
3. Attempt direct URL access if applicable</t>
  </si>
  <si>
    <t>Restricted user role</t>
  </si>
  <si>
    <t>Access is denied consistently and audit trail or error message is shown</t>
  </si>
  <si>
    <t>Critical</t>
  </si>
  <si>
    <t>Security</t>
  </si>
  <si>
    <t>Req: ACCESS-001 | Risk: unauthorized configuration changes</t>
  </si>
  <si>
    <t>TC-SET-005</t>
  </si>
  <si>
    <t>Verify permission changes take effect after user session refresh</t>
  </si>
  <si>
    <t>Employee account exists and role can be edited</t>
  </si>
  <si>
    <t>1. Remove a permission from an active user
2. Refresh or re-login as that user
3. Attempt the previously allowed action</t>
  </si>
  <si>
    <t>Existing employee and updated role</t>
  </si>
  <si>
    <t>Updated permission model is enforced after refresh without stale access</t>
  </si>
  <si>
    <t>Regression</t>
  </si>
  <si>
    <t>Later</t>
  </si>
  <si>
    <t>Req: ACCESS-002 | Risk: stale authorization cache</t>
  </si>
  <si>
    <t>TC-SET-006</t>
  </si>
  <si>
    <t>Verify configured notification triggers send the correct template on order status change</t>
  </si>
  <si>
    <t>Notification rule exists for a target status</t>
  </si>
  <si>
    <t>1. Create or update an order to the trigger status
2. Review outbound notification preview or log
3. Confirm only intended recipients are targeted</t>
  </si>
  <si>
    <t>Sample order and recipient</t>
  </si>
  <si>
    <t>Correct template, recipients, and merge fields are used once per event</t>
  </si>
  <si>
    <t>Integration</t>
  </si>
  <si>
    <t>Req: NOTIFY-001 | Risk: duplicate or incorrect customer communications</t>
  </si>
  <si>
    <t>TC-SET-007</t>
  </si>
  <si>
    <t>Verify automation rule executes only when configured criteria are met</t>
  </si>
  <si>
    <t>Automation rule is enabled with specific criteria</t>
  </si>
  <si>
    <t>1. Create a record that matches the automation criteria
2. Verify automation action fires
3. Create a similar record that does not match
4. Verify no action fires</t>
  </si>
  <si>
    <t>Matching and non-matching records</t>
  </si>
  <si>
    <t>Automation runs only for eligible records and creates the configured result</t>
  </si>
  <si>
    <t>Req: AUTO-001 | Risk: unintended workflow changes</t>
  </si>
  <si>
    <t>TC-SET-008</t>
  </si>
  <si>
    <t>Verify localization settings update currency and date display consistently</t>
  </si>
  <si>
    <t>Localization settings page is available</t>
  </si>
  <si>
    <t>1. Change locale/currency/date format settings in QA
2. Open estimate, order, and report screens
3. Review displayed dates, separators, and currency symbols</t>
  </si>
  <si>
    <t>Sample transactions across modules</t>
  </si>
  <si>
    <t>Localized formats are applied consistently without changing stored values</t>
  </si>
  <si>
    <t>Req: LOCAL-001 | Risk: misleading financial presentation</t>
  </si>
  <si>
    <t>TC-SET-009</t>
  </si>
  <si>
    <t>Verify inactive employee can no longer log in or be assigned to new work</t>
  </si>
  <si>
    <t>Active employee record exists</t>
  </si>
  <si>
    <t>1. Deactivate an employee
2. Attempt sign-in
3. Create or edit an order and try assigning the inactive employee</t>
  </si>
  <si>
    <t>Inactive employee account</t>
  </si>
  <si>
    <t>Login is blocked and inactive employee is excluded from new assignments</t>
  </si>
  <si>
    <t>Req: EMP-001 | Risk: inactive user activity</t>
  </si>
  <si>
    <t>TC-SET-010</t>
  </si>
  <si>
    <t>Verify manager time-tracking visibility is limited to authorized team members</t>
  </si>
  <si>
    <t>Manager and non-team employee records exist</t>
  </si>
  <si>
    <t>1. Sign in as manager
2. Open time tracking dashboard
3. Review visible employees and attempt access to non-team details</t>
  </si>
  <si>
    <t>Manager with scoped team membership</t>
  </si>
  <si>
    <t>Manager sees only authorized team data and cannot view unrelated employee time entries</t>
  </si>
  <si>
    <t>Req: EMP-002 | Risk: privacy breach</t>
  </si>
  <si>
    <t>Customers and CRM Test Cases</t>
  </si>
  <si>
    <t>TC-CRM-001</t>
  </si>
  <si>
    <t>Verify company can be created with valid required fields</t>
  </si>
  <si>
    <t>User has CRM create permission</t>
  </si>
  <si>
    <t>1. Open company creation
2. Enter required company fields
3. Save the company</t>
  </si>
  <si>
    <t>Valid company data</t>
  </si>
  <si>
    <t>Company saves successfully and is searchable in CRM</t>
  </si>
  <si>
    <t>Req: CRM-001 | Risk: customer master setup</t>
  </si>
  <si>
    <t>TC-CRM-002</t>
  </si>
  <si>
    <t>Verify duplicate company handling follows configured rule</t>
  </si>
  <si>
    <t>A company with same unique identifier exists</t>
  </si>
  <si>
    <t>1. Attempt to create a company with duplicate unique identifier
2. Save the record</t>
  </si>
  <si>
    <t>Existing company identifier</t>
  </si>
  <si>
    <t>System blocks or flags duplicate according to business rule and avoids ambiguous records</t>
  </si>
  <si>
    <t>Req: CRM-002 | Risk: duplicate billing entity</t>
  </si>
  <si>
    <t>TC-CRM-003</t>
  </si>
  <si>
    <t>Verify contact can be created and linked to a parent company</t>
  </si>
  <si>
    <t>Parent company exists</t>
  </si>
  <si>
    <t>1. Open contact creation from company context
2. Enter valid contact details
3. Save contact</t>
  </si>
  <si>
    <t>Valid contact data</t>
  </si>
  <si>
    <t>Contact is saved and linked to the correct parent company</t>
  </si>
  <si>
    <t>Req: CRM-003 | Risk: orphaned contact records</t>
  </si>
  <si>
    <t>TC-CRM-004</t>
  </si>
  <si>
    <t>Verify required contact fields and format validations are enforced</t>
  </si>
  <si>
    <t>Contact creation page is open</t>
  </si>
  <si>
    <t>1. Leave required fields blank or enter invalid email/phone
2. Attempt to save</t>
  </si>
  <si>
    <t>Blank required values and invalid formats</t>
  </si>
  <si>
    <t>Validation messages appear and no invalid contact is created</t>
  </si>
  <si>
    <t>Req: CRM-004 | Risk: bad contact data</t>
  </si>
  <si>
    <t>TC-CRM-005</t>
  </si>
  <si>
    <t>Verify company notes and flags are visible across CRM and order entry</t>
  </si>
  <si>
    <t>Company with notes/flags exists</t>
  </si>
  <si>
    <t>1. Open company record and add a note/flag
2. Open related CRM list and order entry page
3. Review surfaced note/flag indicators</t>
  </si>
  <si>
    <t>Company with internal note and flag</t>
  </si>
  <si>
    <t>Notes/flags are displayed where intended without leaking private text externally</t>
  </si>
  <si>
    <t>Req: CRM-005 | Risk: missed customer handling instructions</t>
  </si>
  <si>
    <t>TC-CRM-006</t>
  </si>
  <si>
    <t>Verify contact notes and flags are retained in audit/history views</t>
  </si>
  <si>
    <t>Existing contact exists</t>
  </si>
  <si>
    <t>1. Add or update a contact note/flag
2. Open contact history or audit trail
3. Review change details</t>
  </si>
  <si>
    <t>Updated contact metadata</t>
  </si>
  <si>
    <t>History captures the change with user/date context and current CRM view stays accurate</t>
  </si>
  <si>
    <t>Req: CRM-006 | Risk: lack of traceability</t>
  </si>
  <si>
    <t>TC-CRM-007</t>
  </si>
  <si>
    <t>Verify CRM list filters and search results update accurately</t>
  </si>
  <si>
    <t>Multiple companies and contacts exist</t>
  </si>
  <si>
    <t>1. Apply status, owner, or text filters
2. Review returned CRM records
3. Clear filters and compare counts</t>
  </si>
  <si>
    <t>Sample CRM dataset</t>
  </si>
  <si>
    <t>CRM list shows only matching records and counts refresh correctly</t>
  </si>
  <si>
    <t>Req: CRM-007 | Risk: missed follow-up due to bad filtering</t>
  </si>
  <si>
    <t>TC-CRM-008</t>
  </si>
  <si>
    <t>Verify portal invitation can only be sent to a valid contact email</t>
  </si>
  <si>
    <t>Company and contact exist</t>
  </si>
  <si>
    <t>1. Open portal invitation flow
2. Select contact with valid email
3. Send invitation
4. Repeat with missing or malformed email</t>
  </si>
  <si>
    <t>Valid and invalid contact email cases</t>
  </si>
  <si>
    <t>Invitation is sent only to valid contact email addresses and invalid cases are blocked</t>
  </si>
  <si>
    <t>Req: PORTAL-001 | Risk: failed portal onboarding</t>
  </si>
  <si>
    <t>TC-CRM-009</t>
  </si>
  <si>
    <t>Verify invitation resend or token expiry behavior is controlled</t>
  </si>
  <si>
    <t>Portal invitation has already been sent</t>
  </si>
  <si>
    <t>1. Attempt to use an expired invitation link if available
2. Trigger resend from CRM
3. Open the latest link</t>
  </si>
  <si>
    <t>Expired invite and resent token</t>
  </si>
  <si>
    <t>Expired token is rejected and the newest valid invitation works as expected</t>
  </si>
  <si>
    <t>Req: PORTAL-002 | Risk: account takeover via stale link</t>
  </si>
  <si>
    <t>TC-CRM-010</t>
  </si>
  <si>
    <t>Verify merge or de-duplication preserves linked order history</t>
  </si>
  <si>
    <t>Two duplicate customer records exist and one has transactions</t>
  </si>
  <si>
    <t>1. Start duplicate merge flow
2. Merge duplicate into surviving record
3. Review existing orders and payments</t>
  </si>
  <si>
    <t>Duplicate company/contact pair</t>
  </si>
  <si>
    <t>Historical orders, payments, and notes remain linked to the surviving record without data loss</t>
  </si>
  <si>
    <t>Req: CRM-008 | Risk: broken customer history</t>
  </si>
  <si>
    <t>Sales, Estimates, and Orders Test Cases</t>
  </si>
  <si>
    <t>TC-SAL-001</t>
  </si>
  <si>
    <t>Verify estimate can be created with multiple line items, fees, and tax</t>
  </si>
  <si>
    <t>Customer and sellable items exist</t>
  </si>
  <si>
    <t>1. Create a new estimate
2. Add multiple line items and an order-level fee
3. Apply tax and save</t>
  </si>
  <si>
    <t>Sample customer, items, fee, and tax group</t>
  </si>
  <si>
    <t>Estimate saves with accurate subtotal, tax, and total</t>
  </si>
  <si>
    <t>Req: SALES-001 | Risk: inaccurate quote totals</t>
  </si>
  <si>
    <t>TC-SAL-002</t>
  </si>
  <si>
    <t>Verify estimate-to-order conversion preserves customer, item, price, and tax data</t>
  </si>
  <si>
    <t>Approved estimate exists</t>
  </si>
  <si>
    <t>1. Open an approved estimate
2. Convert estimate to order
3. Compare order values to source estimate</t>
  </si>
  <si>
    <t>Saved estimate with multiple lines</t>
  </si>
  <si>
    <t>Order is created with all expected customer, item, pricing, tax, and notes preserved</t>
  </si>
  <si>
    <t>Req: SALES-002 | Risk: data loss during conversion</t>
  </si>
  <si>
    <t>TC-SAL-003</t>
  </si>
  <si>
    <t>Verify a direct order can be created without starting from an estimate</t>
  </si>
  <si>
    <t>User has order-create permission</t>
  </si>
  <si>
    <t>1. Open new order
2. Enter required customer and line item data
3. Save the order</t>
  </si>
  <si>
    <t>Valid order data</t>
  </si>
  <si>
    <t>Order saves successfully with generated identifier and correct initial status</t>
  </si>
  <si>
    <t>Req: SALES-003 | Risk: blocked direct-order workflow</t>
  </si>
  <si>
    <t>TC-SAL-004</t>
  </si>
  <si>
    <t>Verify invalid status transition is blocked and valid transition is logged</t>
  </si>
  <si>
    <t>Order exists in a controlled status flow</t>
  </si>
  <si>
    <t>1. Attempt a disallowed status jump
2. Then perform an allowed next status change
3. Open history/audit trail</t>
  </si>
  <si>
    <t>Order with configured statuses</t>
  </si>
  <si>
    <t>Disallowed transition is blocked and allowed transition is recorded in order history</t>
  </si>
  <si>
    <t>Req: SALES-004 | Risk: workflow bypass</t>
  </si>
  <si>
    <t>TC-SAL-005</t>
  </si>
  <si>
    <t>Verify board view filters return the correct orders by owner, status, and location</t>
  </si>
  <si>
    <t>Board setup and sample orders exist</t>
  </si>
  <si>
    <t>1. Open board view
2. Apply owner, status, and location filters
3. Review visible cards and counts</t>
  </si>
  <si>
    <t>Orders across owners, statuses, and locations</t>
  </si>
  <si>
    <t>Board displays only matching orders and filter counts are accurate</t>
  </si>
  <si>
    <t>Req: SALES-005 | Risk: wrong work queue visibility</t>
  </si>
  <si>
    <t>TC-SAL-006</t>
  </si>
  <si>
    <t>Verify clipboard copy/paste duplicates intended line items without stale references</t>
  </si>
  <si>
    <t>Order with line items exists</t>
  </si>
  <si>
    <t>1. Copy a line item using clipboard feature
2. Paste into same or new estimate/order
3. Review price, quantity, and product reference</t>
  </si>
  <si>
    <t>Order with standard items</t>
  </si>
  <si>
    <t>Copied item duplicates correctly and no stale hidden references are carried over</t>
  </si>
  <si>
    <t>Req: SALES-006 | Risk: duplicated incorrect data</t>
  </si>
  <si>
    <t>TC-SAL-007</t>
  </si>
  <si>
    <t>Verify recurring template creates the next draft transaction using configured cadence</t>
  </si>
  <si>
    <t>Recurring template exists</t>
  </si>
  <si>
    <t>1. Run or wait for recurring template generation
2. Open the generated draft
3. Compare cadence-driven dates and copied details</t>
  </si>
  <si>
    <t>Recurring template with start date and interval</t>
  </si>
  <si>
    <t>New draft transaction is created once with correct copied details and schedule</t>
  </si>
  <si>
    <t>Req: SALES-007 | Risk: duplicate recurring orders</t>
  </si>
  <si>
    <t>TC-SAL-008</t>
  </si>
  <si>
    <t>Verify multi-quantity estimates recalculate line extensions and totals correctly</t>
  </si>
  <si>
    <t>Estimate screen supports multi-quantity pricing</t>
  </si>
  <si>
    <t>1. Create an estimate with quantity brackets or multi-quantity entries
2. Review line extension and total recalculation
3. Save and reopen</t>
  </si>
  <si>
    <t>Multiple quantities and price points</t>
  </si>
  <si>
    <t>All line extensions and estimate totals calculate correctly and persist after save</t>
  </si>
  <si>
    <t>Boundary</t>
  </si>
  <si>
    <t>Req: SALES-008 | Risk: quantity pricing errors</t>
  </si>
  <si>
    <t>TC-SAL-009</t>
  </si>
  <si>
    <t>Verify overpayment converts to in-store credit according to business rule</t>
  </si>
  <si>
    <t>Order with small remaining balance exists</t>
  </si>
  <si>
    <t>1. Enter a payment above remaining balance where allowed
2. Review resulting balance and credit record</t>
  </si>
  <si>
    <t>Order with intentional overpayment scenario</t>
  </si>
  <si>
    <t>Overpayment is handled according to configured rule and resulting store credit is accurate</t>
  </si>
  <si>
    <t>Req: SALES-009 | Risk: unapplied cash or customer credit mismatch</t>
  </si>
  <si>
    <t>TC-SAL-010</t>
  </si>
  <si>
    <t>Verify order and line-item fees update subtotal, tax, and grand total correctly</t>
  </si>
  <si>
    <t>Order exists and fee setup is available</t>
  </si>
  <si>
    <t>1. Apply a taxable line-item fee
2. Apply an order-level fee
3. Review totals before and after save</t>
  </si>
  <si>
    <t>Taxable and non-taxable fee setup</t>
  </si>
  <si>
    <t>Fees are included in the correct calculation layers and totals remain consistent</t>
  </si>
  <si>
    <t>Req: SALES-010 | Risk: miscalculated fees</t>
  </si>
  <si>
    <t>TC-SAL-011</t>
  </si>
  <si>
    <t>Verify full unlock is restricted and creates clear history when used</t>
  </si>
  <si>
    <t>Invoiced or locked order exists</t>
  </si>
  <si>
    <t>1. Attempt full unlock as unauthorized user
2. Repeat as authorized user
3. Review audit/history</t>
  </si>
  <si>
    <t>Locked order and two user roles</t>
  </si>
  <si>
    <t>Unauthorized access is blocked; authorized unlock is recorded with traceable history</t>
  </si>
  <si>
    <t>Req: SALES-011 | Risk: untracked financial edits</t>
  </si>
  <si>
    <t>TC-SAL-012</t>
  </si>
  <si>
    <t>Verify destination fields and validation rules behave correctly for delivery scenarios</t>
  </si>
  <si>
    <t>Order form supports destination handling</t>
  </si>
  <si>
    <t>1. Create an order requiring destination details
2. Leave a required destination field blank
3. Correct the data and save</t>
  </si>
  <si>
    <t>Delivery destination sample data</t>
  </si>
  <si>
    <t>Required destination fields validate correctly and saved order shows the right delivery details</t>
  </si>
  <si>
    <t>Req: SALES-012 | Risk: fulfillment errors</t>
  </si>
  <si>
    <t>Components and Pricing Test Cases</t>
  </si>
  <si>
    <t>TC-CMP-001</t>
  </si>
  <si>
    <t>Verify material can be created with required cost, unit, and category</t>
  </si>
  <si>
    <t>Component admin user is logged in</t>
  </si>
  <si>
    <t>1. Open material creation
2. Enter required master data and cost
3. Save the material</t>
  </si>
  <si>
    <t>Valid material master data</t>
  </si>
  <si>
    <t>Material saves successfully and is available for use in pricing structures</t>
  </si>
  <si>
    <t>Req: CMP-001 | Risk: incomplete component master</t>
  </si>
  <si>
    <t>TC-CMP-002</t>
  </si>
  <si>
    <t>Verify cloned material or labor creates an independent editable record</t>
  </si>
  <si>
    <t>Existing material or labor exists</t>
  </si>
  <si>
    <t>1. Clone a material or labor record
2. Modify the clone
3. Review original record</t>
  </si>
  <si>
    <t>Existing component to clone</t>
  </si>
  <si>
    <t>Clone is created with copied baseline values and edits do not alter the original</t>
  </si>
  <si>
    <t>Req: CMP-002 | Risk: accidental master data overwrite</t>
  </si>
  <si>
    <t>TC-CMP-003</t>
  </si>
  <si>
    <t>Verify labor cost worksheet rolls up rate, burden, and total correctly</t>
  </si>
  <si>
    <t>Labor worksheet is enabled</t>
  </si>
  <si>
    <t>1. Enter base rate and burden inputs
2. Review calculated labor total
3. Save the labor record</t>
  </si>
  <si>
    <t>Labor inputs for rate and burden</t>
  </si>
  <si>
    <t>Worksheet calculations are correct and saved labor cost matches the worksheet result</t>
  </si>
  <si>
    <t>Req: CMP-003 | Risk: understated labor cost</t>
  </si>
  <si>
    <t>TC-CMP-004</t>
  </si>
  <si>
    <t>Verify machine cost configuration affects priced output as expected</t>
  </si>
  <si>
    <t>Machine component exists or can be created</t>
  </si>
  <si>
    <t>1. Create or update a machine hourly cost
2. Use the machine in a priced item or assembly
3. Review priced result</t>
  </si>
  <si>
    <t>Machine rate and runtime assumptions</t>
  </si>
  <si>
    <t>Machine cost is incorporated into priced output using configured assumptions</t>
  </si>
  <si>
    <t>Req: CMP-004 | Risk: missing machine cost</t>
  </si>
  <si>
    <t>TC-CMP-005</t>
  </si>
  <si>
    <t>Verify cost-plus pricing calculates sell price from cost and markup settings</t>
  </si>
  <si>
    <t>Pricing engine supports cost-plus method</t>
  </si>
  <si>
    <t>1. Configure cost-plus pricing inputs
2. Create or update a priced item
3. Review generated sell price</t>
  </si>
  <si>
    <t>Known cost and markup inputs</t>
  </si>
  <si>
    <t>Sell price matches expected cost-plus formula and rounding rule</t>
  </si>
  <si>
    <t>Req: PRICE-001 | Risk: margin leakage</t>
  </si>
  <si>
    <t>TC-CMP-006</t>
  </si>
  <si>
    <t>Verify market-based or tier pricing overrides base cost-driven output where configured</t>
  </si>
  <si>
    <t>Pricing tiers or market-based rules exist</t>
  </si>
  <si>
    <t>1. Assign a market or tier rule
2. Price the same item under the rule
3. Compare to cost-based result</t>
  </si>
  <si>
    <t>Tier or market pricing rule</t>
  </si>
  <si>
    <t>Configured pricing rule supersedes base cost result according to priority rules</t>
  </si>
  <si>
    <t>Req: PRICE-002 | Risk: wrong customer price</t>
  </si>
  <si>
    <t>TC-CMP-007</t>
  </si>
  <si>
    <t>Verify materials with variants select the correct cost and identifier</t>
  </si>
  <si>
    <t>Variant-enabled material exists</t>
  </si>
  <si>
    <t>1. Create or select a material with variants
2. Choose different variants in pricing flow
3. Review cost and identifier mapping</t>
  </si>
  <si>
    <t>Variant material dataset</t>
  </si>
  <si>
    <t>Selected variant drives the correct cost, SKU/identifier, and description</t>
  </si>
  <si>
    <t>Req: CMP-005 | Risk: wrong variant costing</t>
  </si>
  <si>
    <t>TC-CMP-008</t>
  </si>
  <si>
    <t>Verify bill of materials total includes material, labor, and machine contributors</t>
  </si>
  <si>
    <t>Assembly or BOM feature is enabled</t>
  </si>
  <si>
    <t>1. Create or open a BOM with material, labor, and machine inputs
2. Review total cost and priced output</t>
  </si>
  <si>
    <t>Sample assembly with multiple component types</t>
  </si>
  <si>
    <t>BOM total includes all configured component contributors without duplication</t>
  </si>
  <si>
    <t>Req: CMP-006 | Risk: incomplete assembly cost</t>
  </si>
  <si>
    <t>TC-CMP-009</t>
  </si>
  <si>
    <t>Verify deletion of a component in active use is restricted or safely handled</t>
  </si>
  <si>
    <t>Component is referenced by active items</t>
  </si>
  <si>
    <t>1. Attempt to delete a referenced component
2. Review warning and resulting references</t>
  </si>
  <si>
    <t>Component linked to active items</t>
  </si>
  <si>
    <t>System blocks unsafe deletion or handles dependency cleanup per business rule</t>
  </si>
  <si>
    <t>Req: CMP-007 | Risk: broken pricing references</t>
  </si>
  <si>
    <t>Financial Setup Test Cases</t>
  </si>
  <si>
    <t>TC-FIN-001</t>
  </si>
  <si>
    <t>Verify payment terms can be created and applied as default on new transactions</t>
  </si>
  <si>
    <t>Finance admin user is logged in</t>
  </si>
  <si>
    <t>1. Create a new payment term such as Net 30
2. Mark it as default if allowed
3. Create a new estimate or order</t>
  </si>
  <si>
    <t>Valid payment term configuration</t>
  </si>
  <si>
    <t>New transactions inherit the configured default payment term</t>
  </si>
  <si>
    <t>Req: FIN-001 | Risk: inconsistent payment expectations</t>
  </si>
  <si>
    <t>TC-FIN-002</t>
  </si>
  <si>
    <t>Verify invalid payment term values such as negative days are rejected</t>
  </si>
  <si>
    <t>Payment terms page is open</t>
  </si>
  <si>
    <t>1. Create or edit a payment term with negative days or invalid offset
2. Attempt to save</t>
  </si>
  <si>
    <t>Negative or invalid term values</t>
  </si>
  <si>
    <t>Invalid configuration is rejected with clear validation</t>
  </si>
  <si>
    <t>Req: FIN-002 | Risk: invalid due dates</t>
  </si>
  <si>
    <t>TC-FIN-003</t>
  </si>
  <si>
    <t>Verify chart of accounts entry requires mandatory fields and unique mapping keys</t>
  </si>
  <si>
    <t>COA page is available</t>
  </si>
  <si>
    <t>1. Create an account with missing required fields
2. Correct fields and save
3. Attempt duplicate unique code if supported</t>
  </si>
  <si>
    <t>Valid and invalid GL account data</t>
  </si>
  <si>
    <t>Only valid chart of accounts entries save and duplicates are prevented</t>
  </si>
  <si>
    <t>Req: FIN-003 | Risk: bad GL master data</t>
  </si>
  <si>
    <t>TC-FIN-004</t>
  </si>
  <si>
    <t>Verify default GL accounts are required before accounting export or sync</t>
  </si>
  <si>
    <t>Accounting sync is configured in QA</t>
  </si>
  <si>
    <t>1. Remove or blank a required default GL mapping
2. Attempt accounting export or sync
3. Restore mapping and retry</t>
  </si>
  <si>
    <t>Missing GL mapping scenario</t>
  </si>
  <si>
    <t>System blocks export/sync until required default GL mapping is completed</t>
  </si>
  <si>
    <t>Req: FIN-004 | Risk: unpostable accounting data</t>
  </si>
  <si>
    <t>TC-FIN-005</t>
  </si>
  <si>
    <t>Verify taxability codes, tax items, and tax groups calculate expected tax</t>
  </si>
  <si>
    <t>Tax master data exists</t>
  </si>
  <si>
    <t>1. Create a taxable transaction with known rates
2. Apply different taxability codes or groups
3. Review calculated tax</t>
  </si>
  <si>
    <t>Known tax scenarios</t>
  </si>
  <si>
    <t>Tax amount matches expected calculation for the applied taxability rule</t>
  </si>
  <si>
    <t>Req: FIN-005 | Risk: tax under/over collection</t>
  </si>
  <si>
    <t>TC-FIN-006</t>
  </si>
  <si>
    <t>Verify financial rounding is applied consistently at line, subtotal, tax, and total levels</t>
  </si>
  <si>
    <t>Rounding rules are enabled</t>
  </si>
  <si>
    <t>1. Create a transaction with fractional amounts
2. Review line totals, tax, and final total
3. Compare to expected rounded result</t>
  </si>
  <si>
    <t>Amounts designed to exercise rounding</t>
  </si>
  <si>
    <t>Rounding behavior is consistent with configured rule across all calculation layers</t>
  </si>
  <si>
    <t>Req: FIN-006 | Risk: penny mismatches</t>
  </si>
  <si>
    <t>TC-FIN-007</t>
  </si>
  <si>
    <t>Verify credit line limits block release or payment scenarios according to rule</t>
  </si>
  <si>
    <t>Customer with credit line exists</t>
  </si>
  <si>
    <t>1. Create transaction that would exceed available credit
2. Attempt to proceed to restricted step</t>
  </si>
  <si>
    <t>Customer near credit limit</t>
  </si>
  <si>
    <t>System enforces credit limit rule and shows actionable guidance</t>
  </si>
  <si>
    <t>Req: FIN-007 | Risk: unauthorized credit exposure</t>
  </si>
  <si>
    <t>TC-FIN-008</t>
  </si>
  <si>
    <t>Verify unlocking invoiced or closed transactions is restricted and auditable</t>
  </si>
  <si>
    <t>Closed or invoiced transaction exists</t>
  </si>
  <si>
    <t>1. Attempt unlock with unauthorized role
2. Repeat with authorized role
3. Review audit trail and downstream flags</t>
  </si>
  <si>
    <t>Closed financial transaction and two user roles</t>
  </si>
  <si>
    <t>Only authorized users can unlock and the action is traceable</t>
  </si>
  <si>
    <t>Req: FIN-008 | Risk: financial integrity breach</t>
  </si>
  <si>
    <t>TC-FIN-009</t>
  </si>
  <si>
    <t>Verify pricing mode changes recalculate quote output without corrupting stored cost data</t>
  </si>
  <si>
    <t>Pricing methods are available</t>
  </si>
  <si>
    <t>1. Create a priced estimate under one pricing mode
2. Switch pricing mode for the same scenario
3. Review recalculated price and stored cost basis</t>
  </si>
  <si>
    <t>Known cost and pricing setup</t>
  </si>
  <si>
    <t>Displayed quote price updates according to new pricing mode while source cost data remains intact</t>
  </si>
  <si>
    <t>Req: FIN-009 | Risk: price/cost data corruption</t>
  </si>
  <si>
    <t>TC-FIN-010</t>
  </si>
  <si>
    <t>Verify automatic reconciliation setting changes downstream reconciliation workflow behavior</t>
  </si>
  <si>
    <t>Automatic reconciliation option is available</t>
  </si>
  <si>
    <t>1. Enable or disable automatic reconciliation in QA
2. Process a small payment batch
3. Open reconciliation workflow</t>
  </si>
  <si>
    <t>Same payment batch under both settings</t>
  </si>
  <si>
    <t>Reconciliation workflow behavior matches configuration without skipping required controls</t>
  </si>
  <si>
    <t>Req: FIN-010 | Risk: unexpected auto-close behavior</t>
  </si>
  <si>
    <t>Payments and Reconciliation Test Cases</t>
  </si>
  <si>
    <t>TC-PAY-001</t>
  </si>
  <si>
    <t>Verify enabling or disabling a built-in payment method changes payment screen availability</t>
  </si>
  <si>
    <t>Finance setup access is available</t>
  </si>
  <si>
    <t>1. Disable a built-in payment method
2. Open payment entry
3. Re-enable the method and retest</t>
  </si>
  <si>
    <t>Built-in payment method configuration</t>
  </si>
  <si>
    <t>Disabled method is hidden or inactive; re-enabled method is available immediately or after refresh as designed</t>
  </si>
  <si>
    <t>Req: PAY-001 | Risk: wrong payment options</t>
  </si>
  <si>
    <t>TC-PAY-002</t>
  </si>
  <si>
    <t>Verify a custom payment method posts to the configured deposit account</t>
  </si>
  <si>
    <t>Custom payment method setup is available</t>
  </si>
  <si>
    <t>1. Create or edit a custom payment method with deposit account mapping
2. Take a payment using the method
3. Review stored payment details</t>
  </si>
  <si>
    <t>Custom payment method and deposit account</t>
  </si>
  <si>
    <t>Payment stores the correct payment method and deposit account mapping</t>
  </si>
  <si>
    <t>Req: PAY-002 | Risk: wrong cash account posting</t>
  </si>
  <si>
    <t>TC-PAY-003</t>
  </si>
  <si>
    <t>Verify an integrated card payment approval creates a payment and reduces order balance</t>
  </si>
  <si>
    <t>Integrated gateway is online in QA or mocked</t>
  </si>
  <si>
    <t>1. Open an unpaid order
2. Take an integrated card payment
3. Review payment history and remaining balance</t>
  </si>
  <si>
    <t>Valid integrated payment credentials and test card</t>
  </si>
  <si>
    <t>Approved payment is recorded once and order balance decreases by the captured amount</t>
  </si>
  <si>
    <t>Req: PAY-003 | Risk: approved payment not posted</t>
  </si>
  <si>
    <t>TC-PAY-004</t>
  </si>
  <si>
    <t>Verify manual non-integrated card entry requires reference or audit note where configured</t>
  </si>
  <si>
    <t>Non-integrated card method is enabled</t>
  </si>
  <si>
    <t>1. Start a manual card payment
2. Leave required reference blank if applicable
3. Attempt to save</t>
  </si>
  <si>
    <t>Manual card payment data</t>
  </si>
  <si>
    <t>Validation enforces required reference/audit fields before payment can be saved</t>
  </si>
  <si>
    <t>Req: PAY-004 | Risk: unverifiable manual payments</t>
  </si>
  <si>
    <t>TC-PAY-005</t>
  </si>
  <si>
    <t>Verify partial payment updates remaining balance accurately</t>
  </si>
  <si>
    <t>Unpaid order with known balance exists</t>
  </si>
  <si>
    <t>1. Take a partial payment
2. Review remaining balance and payment history</t>
  </si>
  <si>
    <t>Known order balance and partial amount</t>
  </si>
  <si>
    <t>Remaining balance equals original balance minus partial payment and payment history shows the transaction</t>
  </si>
  <si>
    <t>Req: PAY-005 | Risk: incorrect AR balance</t>
  </si>
  <si>
    <t>TC-PAY-006</t>
  </si>
  <si>
    <t>Verify payment amount above remaining balance is blocked or handled per credit rule</t>
  </si>
  <si>
    <t>1. Attempt payment above remaining balance
2. Review resulting behavior and messages</t>
  </si>
  <si>
    <t>Amount greater than remaining balance</t>
  </si>
  <si>
    <t>System blocks the payment or creates controlled store credit according to configured rule</t>
  </si>
  <si>
    <t>Req: PAY-006 | Risk: unapplied over-collection</t>
  </si>
  <si>
    <t>TC-PAY-007</t>
  </si>
  <si>
    <t>Verify customer portal payment is available only when integrated payments are enabled</t>
  </si>
  <si>
    <t>Portal access is configured for a customer</t>
  </si>
  <si>
    <t>1. Disable integrated payment provider
2. Open unpaid order in portal
3. Enable provider and retest</t>
  </si>
  <si>
    <t>Portal-enabled customer and unpaid order</t>
  </si>
  <si>
    <t>Portal payment call-to-action follows integration availability setting exactly</t>
  </si>
  <si>
    <t>Req: PAY-007 | Risk: broken customer payment experience</t>
  </si>
  <si>
    <t>TC-PAY-008</t>
  </si>
  <si>
    <t>Verify full refund updates payment status, order balance, and audit trail</t>
  </si>
  <si>
    <t>Completed payment exists and is refundable</t>
  </si>
  <si>
    <t>1. Open payment or order
2. Initiate full refund
3. Review balances and payment status</t>
  </si>
  <si>
    <t>Completed payment eligible for refund</t>
  </si>
  <si>
    <t>Refund is created once, payment status updates appropriately, and balances remain consistent</t>
  </si>
  <si>
    <t>Req: PAY-008 | Risk: refund mismatch</t>
  </si>
  <si>
    <t>TC-PAY-009</t>
  </si>
  <si>
    <t>Verify partial refund cannot exceed captured amount or remaining refundable balance</t>
  </si>
  <si>
    <t>Completed payment exists</t>
  </si>
  <si>
    <t>1. Attempt a partial refund above allowed amount
2. Then refund a valid partial amount</t>
  </si>
  <si>
    <t>Completed payment and excessive refund amount</t>
  </si>
  <si>
    <t>Excessive refund is blocked and valid partial refund updates refundable balance correctly</t>
  </si>
  <si>
    <t>Req: PAY-009 | Risk: excess cash outflow</t>
  </si>
  <si>
    <t>TC-PAY-010</t>
  </si>
  <si>
    <t>Verify a multi-order payment allocates exact amounts across selected orders</t>
  </si>
  <si>
    <t>Customer has multiple open orders</t>
  </si>
  <si>
    <t>1. Start multi-order payment
2. Allocate different amounts across orders
3. Save payment and review each order</t>
  </si>
  <si>
    <t>Customer with two or more open orders</t>
  </si>
  <si>
    <t>Allocated amounts post to the intended orders and each remaining balance is correct</t>
  </si>
  <si>
    <t>Req: PAY-010 | Risk: misapplied cash</t>
  </si>
  <si>
    <t>TC-PAY-011</t>
  </si>
  <si>
    <t>Verify reconciliation preview groups transactions by correct location, date, and payment method</t>
  </si>
  <si>
    <t>Unreconciled payments exist across locations</t>
  </si>
  <si>
    <t>1. Open reconciliation preview
2. Filter by location or period
3. Review grouped totals</t>
  </si>
  <si>
    <t>Sample payments across locations and methods</t>
  </si>
  <si>
    <t>Preview shows the correct unreconciled transactions and grouped totals for the selected scope</t>
  </si>
  <si>
    <t>Req: REC-001 | Risk: wrong reconciliation bucket</t>
  </si>
  <si>
    <t>TC-PAY-012</t>
  </si>
  <si>
    <t>Verify reconciliation cannot be closed when counted totals do not match system totals</t>
  </si>
  <si>
    <t>Unreconciled transactions exist</t>
  </si>
  <si>
    <t>1. Open reconciliation
2. Enter counted totals that create a non-zero difference
3. Attempt to close</t>
  </si>
  <si>
    <t>Non-zero difference scenario</t>
  </si>
  <si>
    <t>System blocks closure and highlights the out-of-balance condition</t>
  </si>
  <si>
    <t>Req: REC-002 | Risk: closing with mismatch</t>
  </si>
  <si>
    <t>TC-PAY-013</t>
  </si>
  <si>
    <t>Verify successful reconciliation close stamps the batch and excludes already reconciled items</t>
  </si>
  <si>
    <t>Balanced reconciliation batch exists</t>
  </si>
  <si>
    <t>1. Open reconciliation with zero difference
2. Complete close action
3. Reopen preview for same scope</t>
  </si>
  <si>
    <t>Balanced reconciliation batch</t>
  </si>
  <si>
    <t>Batch closes successfully and already reconciled items are no longer offered for the same period</t>
  </si>
  <si>
    <t>Req: REC-003 | Risk: duplicate reconciliation</t>
  </si>
  <si>
    <t>TC-PAY-014</t>
  </si>
  <si>
    <t>Verify chargeback or returned payment creates an exception workflow without deleting history</t>
  </si>
  <si>
    <t>Completed payment exists and exception scenario can be simulated</t>
  </si>
  <si>
    <t>1. Simulate chargeback or returned payment event
2. Review payment history, exception queue, and balances</t>
  </si>
  <si>
    <t>Chargeback/return simulation</t>
  </si>
  <si>
    <t>Original payment history is retained and exception state is recorded with correct financial impact</t>
  </si>
  <si>
    <t>Req: PAY-011 | Risk: silent revenue reversal</t>
  </si>
  <si>
    <t>Integrations and Reporting Test Cases</t>
  </si>
  <si>
    <t>TC-INT-001</t>
  </si>
  <si>
    <t>Verify gateway connectivity test succeeds with valid credentials</t>
  </si>
  <si>
    <t>Integration settings page is available</t>
  </si>
  <si>
    <t>1. Enter valid gateway credentials or sandbox keys
2. Run connectivity test</t>
  </si>
  <si>
    <t>Valid sandbox credentials</t>
  </si>
  <si>
    <t>Connectivity test succeeds and integration status is shown as healthy or online</t>
  </si>
  <si>
    <t>Req: INT-001 | Risk: false positive gateway status</t>
  </si>
  <si>
    <t>TC-INT-002</t>
  </si>
  <si>
    <t>Verify declined or timed-out gateway response does not create duplicate payment records</t>
  </si>
  <si>
    <t>Gateway decline or timeout can be simulated</t>
  </si>
  <si>
    <t>1. Initiate an integrated payment
2. Simulate timeout or decline
3. Retry once if allowed and review payment history</t>
  </si>
  <si>
    <t>Decline/timeout payment scenario</t>
  </si>
  <si>
    <t>No duplicate payment is created and user sees clear retry-safe messaging</t>
  </si>
  <si>
    <t>Req: INT-002 | Risk: duplicate charge</t>
  </si>
  <si>
    <t>TC-INT-003</t>
  </si>
  <si>
    <t>Verify accounting summary sync exports balanced totals</t>
  </si>
  <si>
    <t>Accounting sandbox is connected</t>
  </si>
  <si>
    <t>1. Prepare a batch of transactions
2. Run summary sync/export
3. Review exported totals in outbound payload or target system</t>
  </si>
  <si>
    <t>Known batch totals</t>
  </si>
  <si>
    <t>Exported journal or summary data is balanced and matches source totals</t>
  </si>
  <si>
    <t>Data</t>
  </si>
  <si>
    <t>Req: INT-003 | Risk: unbalanced accounting export</t>
  </si>
  <si>
    <t>TC-INT-004</t>
  </si>
  <si>
    <t>Verify accounting detail sync preserves customer, order, and payment dimensions</t>
  </si>
  <si>
    <t>Detail sync is enabled in QA</t>
  </si>
  <si>
    <t>1. Create sample transactions with known customer/order/payment data
2. Run detail sync
3. Review target-side detail records</t>
  </si>
  <si>
    <t>Known transaction set</t>
  </si>
  <si>
    <t>Target accounting detail includes the correct dimensional fields and mapped accounts</t>
  </si>
  <si>
    <t>Req: INT-004 | Risk: lost reporting dimensions</t>
  </si>
  <si>
    <t>TC-INT-005</t>
  </si>
  <si>
    <t>Verify external tax lookup failure falls back or errors gracefully</t>
  </si>
  <si>
    <t>External tax lookup is configured and can be disabled</t>
  </si>
  <si>
    <t>1. Start a taxable transaction
2. Simulate tax service outage
3. Review system behavior</t>
  </si>
  <si>
    <t>Tax service unavailable scenario</t>
  </si>
  <si>
    <t>System follows defined fallback or blocking behavior without silently miscalculating tax</t>
  </si>
  <si>
    <t>Req: INT-005 | Risk: silent tax failure</t>
  </si>
  <si>
    <t>TC-INT-006</t>
  </si>
  <si>
    <t>Verify email or calendar integration creates activities only once per event</t>
  </si>
  <si>
    <t>Email/calendar integration is connected in QA</t>
  </si>
  <si>
    <t>1. Trigger an activity that should sync
2. Review generated email/calendar activity
3. Repeat refresh or sync job</t>
  </si>
  <si>
    <t>Single event eligible for sync</t>
  </si>
  <si>
    <t>Only one corresponding external activity is created and duplicate sync is avoided</t>
  </si>
  <si>
    <t>Req: INT-006 | Risk: duplicate external events</t>
  </si>
  <si>
    <t>TC-INT-007</t>
  </si>
  <si>
    <t>Verify API rejects unauthorized requests and records access attempt</t>
  </si>
  <si>
    <t>API endpoint and logs are available</t>
  </si>
  <si>
    <t>1. Call an API with missing or invalid authorization
2. Review response and audit logs</t>
  </si>
  <si>
    <t>Unauthorized API request</t>
  </si>
  <si>
    <t>Request is rejected with appropriate status and access attempt is traceable</t>
  </si>
  <si>
    <t>Req: INT-007 | Risk: unauthorized data access</t>
  </si>
  <si>
    <t>TC-INT-008</t>
  </si>
  <si>
    <t>Verify report filters and drill-down totals match the underlying transaction list</t>
  </si>
  <si>
    <t>Reporting module has sample data</t>
  </si>
  <si>
    <t>1. Open a financial or operational report
2. Apply date/location/method filters
3. Drill down to underlying transactions</t>
  </si>
  <si>
    <t>Known dataset with filters</t>
  </si>
  <si>
    <t>Filtered totals match the drilled-down transactions exactly</t>
  </si>
  <si>
    <t>Req: REP-001 | Risk: misleading management reporting</t>
  </si>
  <si>
    <t>TC-INT-009</t>
  </si>
  <si>
    <t>Verify generated documents populate merge fields with correct sanitized data</t>
  </si>
  <si>
    <t>Document template exists</t>
  </si>
  <si>
    <t>1. Generate a customer-facing document
2. Review populated merge fields and totals</t>
  </si>
  <si>
    <t>Sample order and template</t>
  </si>
  <si>
    <t>Document shows the correct sanitized customer, order, and total data without blank required merge fields</t>
  </si>
  <si>
    <t>Req: DOC-001 | Risk: incorrect customer document</t>
  </si>
  <si>
    <t>TC-INT-010</t>
  </si>
  <si>
    <t>Verify report or document export to PDF/CSV preserves totals and formats</t>
  </si>
  <si>
    <t>Export-capable report exists</t>
  </si>
  <si>
    <t>1. Run a report or generate a document
2. Export to supported format
3. Open exported file and review totals/format</t>
  </si>
  <si>
    <t>Known report totals</t>
  </si>
  <si>
    <t>Exported file preserves totals, date formats, and key labels accurately</t>
  </si>
  <si>
    <t>Req: REP-002 | Risk: corrupted exported evidence</t>
  </si>
  <si>
    <t>TC-INT-011</t>
  </si>
  <si>
    <t>Verify retry after temporary sync failure does not duplicate exported records</t>
  </si>
  <si>
    <t>A sync job can be retried in QA</t>
  </si>
  <si>
    <t>1. Cause a temporary failure for outbound sync
2. Retry the same job after recovery
3. Review target system and source status</t>
  </si>
  <si>
    <t>Temporary failure and retry scenario</t>
  </si>
  <si>
    <t>Retried sync completes once and does not create duplicate target records</t>
  </si>
  <si>
    <t>Req: INT-008 | Risk: duplicate accounting or messaging records</t>
  </si>
  <si>
    <t>End-to-End Test Cases</t>
  </si>
  <si>
    <t>TC-E2E-001</t>
  </si>
  <si>
    <t>Verify full order-to-cash flow from company setup through reconciliation close</t>
  </si>
  <si>
    <t>Required master data, payment methods, and user access are configured</t>
  </si>
  <si>
    <t>1. Create a company and contact
2. Create an estimate with taxed line items
3. Convert estimate to order
4. Take an integrated partial payment
5. Take final payment
6. Open reconciliation and close balanced batch</t>
  </si>
  <si>
    <t>New customer, order, and two payments</t>
  </si>
  <si>
    <t>Customer, sales, payment, and reconciliation records stay linked and financially consistent end to end</t>
  </si>
  <si>
    <t>Scenario: primary happy path</t>
  </si>
  <si>
    <t>TC-E2E-002</t>
  </si>
  <si>
    <t>Verify customer portal invitation to successful portal payment updates internal records</t>
  </si>
  <si>
    <t>Portal-enabled contact and unpaid order exist</t>
  </si>
  <si>
    <t>1. Send portal invitation
2. Open portal as customer
3. Pay the order using enabled integrated payments
4. Review internal payment and balance</t>
  </si>
  <si>
    <t>Portal payment succeeds and internal order/payment history updates without manual intervention</t>
  </si>
  <si>
    <t>Scenario: external customer payment</t>
  </si>
  <si>
    <t>TC-E2E-003</t>
  </si>
  <si>
    <t>Verify partial payment followed by partial refund and reconciliation exception handling remains balanced</t>
  </si>
  <si>
    <t>Order, payment, and refund permissions exist</t>
  </si>
  <si>
    <t>1. Create order and take partial payment
2. Issue a valid partial refund
3. Open reconciliation or exception workflow
4. Review remaining balance and refund history</t>
  </si>
  <si>
    <t>Known order, payment, and refund amounts</t>
  </si>
  <si>
    <t>Balances, refund history, and reconciliation status remain logically consistent across the lifecycle</t>
  </si>
  <si>
    <t>Scenario: money movement reversal</t>
  </si>
  <si>
    <t>TC-E2E-004</t>
  </si>
  <si>
    <t>Verify multi-location transaction posts and reports against the correct location throughout the lifecycle</t>
  </si>
  <si>
    <t>Two locations exist with separate activity</t>
  </si>
  <si>
    <t>1. Create and pay an order under location A
2. Create a second order under location B
3. Run location-filtered reports and reconciliation previews</t>
  </si>
  <si>
    <t>Location-specific orders and payments</t>
  </si>
  <si>
    <t>Each transaction remains attached to the correct location in operational and financial views</t>
  </si>
  <si>
    <t>Scenario: multi-location integrity</t>
  </si>
  <si>
    <t>TC-E2E-005</t>
  </si>
  <si>
    <t>Verify BOM-based pricing flows from component setup into estimate and final order total</t>
  </si>
  <si>
    <t>Components, assembly, and pricing rules are configured</t>
  </si>
  <si>
    <t>1. Create or update a BOM-driven priced item
2. Add the item to an estimate
3. Convert to order and review totals</t>
  </si>
  <si>
    <t>Known BOM-driven product</t>
  </si>
  <si>
    <t>Component-driven pricing is reflected consistently from pricing engine through final transaction</t>
  </si>
  <si>
    <t>Scenario: costing to selling price</t>
  </si>
  <si>
    <t>TC-E2E-006</t>
  </si>
  <si>
    <t>Verify locked invoiced order change control preserves auditability and reporting integrity</t>
  </si>
  <si>
    <t>Invoiced or financially posted order exists</t>
  </si>
  <si>
    <t>1. Attempt edit as unauthorized user
2. Unlock/edit as authorized user if allowed
3. Review history and reporting impact</t>
  </si>
  <si>
    <t>Locked order with two user roles</t>
  </si>
  <si>
    <t>Change control is enforced and any permitted edit remains fully traceable without silent report drift</t>
  </si>
  <si>
    <t>Scenario: post-invoice governance</t>
  </si>
  <si>
    <t>TC-E2E-007</t>
  </si>
  <si>
    <t>Verify accounting sync after daily close exports only eligible balanced data</t>
  </si>
  <si>
    <t>Accounting sandbox is connected and a closed batch exists</t>
  </si>
  <si>
    <t>1. Prepare balanced and unbalanced transaction groups
2. Close only the balanced group
3. Run accounting sync
4. Review exported content</t>
  </si>
  <si>
    <t>Balanced and unbalanced batches</t>
  </si>
  <si>
    <t>Only eligible balanced data is exported and unbalanced data remains excluded pending correction</t>
  </si>
  <si>
    <t>Scenario: controlled accounting handoff</t>
  </si>
  <si>
    <t>TC-E2E-008</t>
  </si>
  <si>
    <t>Verify restricted user can manage CRM and sales tasks but cannot access protected financial setup</t>
  </si>
  <si>
    <t>Role matrix is configured</t>
  </si>
  <si>
    <t>1. Sign in as restricted operational user
2. Create customer and order records
3. Attempt access to financial setup and reconciliation pages</t>
  </si>
  <si>
    <t>Operational user role</t>
  </si>
  <si>
    <t>Operational workflows work while protected financial actions stay blocked throughout the session</t>
  </si>
  <si>
    <t>Scenario: separation of duties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</si>
</sst>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1">
    <font>
      <sz val="11"/>
      <color theme="1"/>
      <name val="Calibri"/>
      <charset val="134"/>
      <scheme val="minor"/>
    </font>
    <font>
      <sz val="11"/>
      <name val="Calibri"/>
      <charset val="134"/>
      <scheme val="minor"/>
    </font>
    <font>
      <b/>
      <sz val="12"/>
      <color rgb="FFFFFFFF"/>
      <name val="Calibri"/>
      <charset val="134"/>
    </font>
    <font>
      <sz val="11"/>
      <color rgb="FF7F7F7F"/>
      <name val="Calibri"/>
      <charset val="134"/>
    </font>
    <font>
      <b/>
      <sz val="11"/>
      <color rgb="FFFFFFFF"/>
      <name val="Calibri"/>
      <charset val="134"/>
    </font>
    <font>
      <sz val="11"/>
      <name val="Calibri"/>
      <charset val="134"/>
    </font>
    <font>
      <sz val="11"/>
      <color rgb="FF0000FF"/>
      <name val="Calibri"/>
      <charset val="134"/>
    </font>
    <font>
      <b/>
      <sz val="11"/>
      <name val="Calibri"/>
      <charset val="134"/>
    </font>
    <font>
      <sz val="11"/>
      <color rgb="FF800080"/>
      <name val="Calibri"/>
      <charset val="134"/>
    </font>
    <font>
      <sz val="11"/>
      <color rgb="FF008000"/>
      <name val="Calibri"/>
      <charset val="134"/>
    </font>
    <font>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rgb="FFE4DF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4"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5" borderId="4" applyNumberFormat="0" applyAlignment="0" applyProtection="0">
      <alignment vertical="center"/>
    </xf>
    <xf numFmtId="0" fontId="21" fillId="6" borderId="5" applyNumberFormat="0" applyAlignment="0" applyProtection="0">
      <alignment vertical="center"/>
    </xf>
    <xf numFmtId="0" fontId="22" fillId="6" borderId="4" applyNumberFormat="0" applyAlignment="0" applyProtection="0">
      <alignment vertical="center"/>
    </xf>
    <xf numFmtId="0" fontId="23" fillId="7" borderId="6" applyNumberFormat="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18">
    <xf numFmtId="0" fontId="0" fillId="0" borderId="0" xfId="0"/>
    <xf numFmtId="0" fontId="1" fillId="0" borderId="0" xfId="0" applyFont="1"/>
    <xf numFmtId="0" fontId="2" fillId="2" borderId="0" xfId="0" applyFont="1" applyFill="1"/>
    <xf numFmtId="0" fontId="3" fillId="0" borderId="0" xfId="0" applyFont="1" applyAlignment="1">
      <alignment horizontal="left" vertical="top" wrapText="1"/>
    </xf>
    <xf numFmtId="0" fontId="4" fillId="2" borderId="0" xfId="0" applyFont="1" applyFill="1" applyAlignment="1">
      <alignment horizontal="center" vertical="center" wrapText="1"/>
    </xf>
    <xf numFmtId="0" fontId="5" fillId="0" borderId="0" xfId="0" applyFont="1" applyAlignment="1">
      <alignment horizontal="left" vertical="top" wrapText="1"/>
    </xf>
    <xf numFmtId="0" fontId="6" fillId="0" borderId="0" xfId="0" applyFont="1" applyAlignment="1">
      <alignment horizontal="left" vertical="top" wrapText="1"/>
    </xf>
    <xf numFmtId="0" fontId="2" fillId="2" borderId="0" xfId="0" applyFont="1" applyFill="1" applyAlignment="1">
      <alignment horizontal="left" vertical="top" wrapText="1"/>
    </xf>
    <xf numFmtId="0" fontId="3" fillId="0" borderId="0" xfId="0" applyFont="1"/>
    <xf numFmtId="0" fontId="4" fillId="2" borderId="0" xfId="0" applyFont="1" applyFill="1" applyAlignment="1">
      <alignment horizontal="left" vertical="top" wrapText="1"/>
    </xf>
    <xf numFmtId="0" fontId="7" fillId="0" borderId="0" xfId="0" applyFont="1"/>
    <xf numFmtId="0" fontId="8" fillId="3" borderId="0" xfId="0" applyFont="1" applyFill="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center" vertical="center" wrapText="1"/>
    </xf>
    <xf numFmtId="0" fontId="4" fillId="2" borderId="0" xfId="0" applyFont="1" applyFill="1"/>
    <xf numFmtId="0" fontId="6" fillId="0" borderId="0" xfId="0" applyFont="1"/>
    <xf numFmtId="0" fontId="10" fillId="0" borderId="0" xfId="0" applyFont="1"/>
    <xf numFmtId="178" fontId="10"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fill>
        <patternFill patternType="solid">
          <bgColor rgb="FFFFF2CC"/>
        </patternFill>
      </fill>
    </dxf>
    <dxf>
      <fill>
        <patternFill patternType="solid">
          <bgColor rgb="FFE2F0D9"/>
        </patternFill>
      </fill>
    </dxf>
    <dxf>
      <fill>
        <patternFill patternType="solid">
          <bgColor rgb="FFF4CCCC"/>
        </patternFill>
      </fill>
    </dxf>
    <dxf>
      <fill>
        <patternFill patternType="solid">
          <bgColor rgb="FFFCE5C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9"/>
  <sheetViews>
    <sheetView showGridLines="0" topLeftCell="A5" workbookViewId="0">
      <selection activeCell="A1" sqref="A1:F1"/>
    </sheetView>
  </sheetViews>
  <sheetFormatPr defaultColWidth="9" defaultRowHeight="14.4" outlineLevelCol="5"/>
  <cols>
    <col min="1" max="2" width="24" customWidth="1"/>
    <col min="3" max="3" width="14" customWidth="1"/>
    <col min="4" max="4" width="18" customWidth="1"/>
    <col min="5" max="5" width="14" customWidth="1"/>
    <col min="6" max="6" width="22" customWidth="1"/>
  </cols>
  <sheetData>
    <row r="1" customFormat="1" ht="22.05" customHeight="1" spans="1:6">
      <c r="A1" s="7" t="s">
        <v>0</v>
      </c>
    </row>
    <row r="2" customFormat="1" ht="18" customHeight="1"/>
    <row r="3" customFormat="1" ht="28" customHeight="1" spans="1:6">
      <c r="A3" s="8" t="s">
        <v>1</v>
      </c>
    </row>
    <row r="4" customFormat="1" ht="18" customHeight="1"/>
    <row r="5" customFormat="1" ht="19.95" customHeight="1" spans="1:6">
      <c r="A5" s="9" t="s">
        <v>2</v>
      </c>
    </row>
    <row r="6" customFormat="1" ht="18" customHeight="1" spans="1:6">
      <c r="A6" s="10" t="s">
        <v>3</v>
      </c>
      <c r="B6" s="11" t="s">
        <v>4</v>
      </c>
    </row>
    <row r="7" customFormat="1" ht="18" customHeight="1" spans="1:6">
      <c r="A7" s="10" t="s">
        <v>5</v>
      </c>
      <c r="B7" s="11" t="s">
        <v>6</v>
      </c>
    </row>
    <row r="8" customFormat="1" ht="18" customHeight="1" spans="1:6">
      <c r="A8" s="10" t="s">
        <v>7</v>
      </c>
      <c r="B8" s="11" t="s">
        <v>8</v>
      </c>
    </row>
    <row r="9" customFormat="1" ht="30" customHeight="1" spans="1:6">
      <c r="A9" s="10" t="s">
        <v>9</v>
      </c>
      <c r="B9" s="11" t="s">
        <v>10</v>
      </c>
    </row>
    <row r="10" customFormat="1" ht="18" customHeight="1"/>
    <row r="11" customFormat="1" ht="19.95" customHeight="1" spans="1:6">
      <c r="A11" s="9" t="s">
        <v>11</v>
      </c>
    </row>
    <row r="12" customFormat="1" ht="22.05" customHeight="1" spans="1:6">
      <c r="A12" s="4" t="s">
        <v>12</v>
      </c>
      <c r="B12" s="4" t="s">
        <v>13</v>
      </c>
      <c r="C12" s="4" t="s">
        <v>14</v>
      </c>
      <c r="D12" s="4" t="s">
        <v>15</v>
      </c>
      <c r="E12" s="4" t="s">
        <v>16</v>
      </c>
      <c r="F12" s="4" t="s">
        <v>17</v>
      </c>
    </row>
    <row r="13" customFormat="1" ht="18" customHeight="1" spans="1:6">
      <c r="A13" s="6" t="s">
        <v>18</v>
      </c>
      <c r="B13" s="12" t="s">
        <v>19</v>
      </c>
      <c r="C13" s="13">
        <f>COUNTA(Setup_Admin!A5:A200)</f>
        <v>10</v>
      </c>
      <c r="D13" s="13">
        <f>COUNTIF(Setup_Admin!H:H,"High")+COUNTIF(Setup_Admin!H:H,"Critical")</f>
        <v>8</v>
      </c>
      <c r="E13" s="13">
        <f>COUNTIF(Setup_Admin!I:I,"Negative")+COUNTIF(Setup_Admin!I:I,"Security")+COUNTIF(Setup_Admin!I:I,"Data")</f>
        <v>5</v>
      </c>
      <c r="F13" s="13">
        <f>COUNTIF(Setup_Admin!J:J,"Yes")</f>
        <v>5</v>
      </c>
    </row>
    <row r="14" customFormat="1" ht="18" customHeight="1" spans="1:6">
      <c r="A14" s="6" t="s">
        <v>20</v>
      </c>
      <c r="B14" s="12" t="s">
        <v>21</v>
      </c>
      <c r="C14" s="13">
        <f>COUNTA(Customers_CRM!A5:A200)</f>
        <v>10</v>
      </c>
      <c r="D14" s="13">
        <f>COUNTIF(Customers_CRM!H:H,"High")+COUNTIF(Customers_CRM!H:H,"Critical")</f>
        <v>7</v>
      </c>
      <c r="E14" s="13">
        <f>COUNTIF(Customers_CRM!I:I,"Negative")+COUNTIF(Customers_CRM!I:I,"Security")+COUNTIF(Customers_CRM!I:I,"Data")</f>
        <v>4</v>
      </c>
      <c r="F14" s="13">
        <f>COUNTIF(Customers_CRM!J:J,"Yes")</f>
        <v>5</v>
      </c>
    </row>
    <row r="15" customFormat="1" ht="18" customHeight="1" spans="1:6">
      <c r="A15" s="6" t="s">
        <v>22</v>
      </c>
      <c r="B15" s="12" t="s">
        <v>23</v>
      </c>
      <c r="C15" s="13">
        <f>COUNTA(Sales_Orders!A5:A200)</f>
        <v>12</v>
      </c>
      <c r="D15" s="13">
        <f>COUNTIF(Sales_Orders!H:H,"High")+COUNTIF(Sales_Orders!H:H,"Critical")</f>
        <v>10</v>
      </c>
      <c r="E15" s="13">
        <f>COUNTIF(Sales_Orders!I:I,"Negative")+COUNTIF(Sales_Orders!I:I,"Security")+COUNTIF(Sales_Orders!I:I,"Data")</f>
        <v>3</v>
      </c>
      <c r="F15" s="13">
        <f>COUNTIF(Sales_Orders!J:J,"Yes")</f>
        <v>7</v>
      </c>
    </row>
    <row r="16" customFormat="1" ht="18" customHeight="1" spans="1:6">
      <c r="A16" s="6" t="s">
        <v>24</v>
      </c>
      <c r="B16" s="12" t="s">
        <v>25</v>
      </c>
      <c r="C16" s="13">
        <f>COUNTA(Components_Pricing!A5:A200)</f>
        <v>9</v>
      </c>
      <c r="D16" s="13">
        <f>COUNTIF(Components_Pricing!H:H,"High")+COUNTIF(Components_Pricing!H:H,"Critical")</f>
        <v>8</v>
      </c>
      <c r="E16" s="13">
        <f>COUNTIF(Components_Pricing!I:I,"Negative")+COUNTIF(Components_Pricing!I:I,"Security")+COUNTIF(Components_Pricing!I:I,"Data")</f>
        <v>1</v>
      </c>
      <c r="F16" s="13">
        <f>COUNTIF(Components_Pricing!J:J,"Yes")</f>
        <v>3</v>
      </c>
    </row>
    <row r="17" customFormat="1" ht="18" customHeight="1" spans="1:6">
      <c r="A17" s="6" t="s">
        <v>26</v>
      </c>
      <c r="B17" s="12" t="s">
        <v>27</v>
      </c>
      <c r="C17" s="13">
        <f>COUNTA(Financial_Config!A5:A200)</f>
        <v>10</v>
      </c>
      <c r="D17" s="13">
        <f>COUNTIF(Financial_Config!H:H,"High")+COUNTIF(Financial_Config!H:H,"Critical")</f>
        <v>9</v>
      </c>
      <c r="E17" s="13">
        <f>COUNTIF(Financial_Config!I:I,"Negative")+COUNTIF(Financial_Config!I:I,"Security")+COUNTIF(Financial_Config!I:I,"Data")</f>
        <v>4</v>
      </c>
      <c r="F17" s="13">
        <f>COUNTIF(Financial_Config!J:J,"Yes")</f>
        <v>5</v>
      </c>
    </row>
    <row r="18" customFormat="1" ht="18" customHeight="1" spans="1:6">
      <c r="A18" s="6" t="s">
        <v>28</v>
      </c>
      <c r="B18" s="12" t="s">
        <v>29</v>
      </c>
      <c r="C18" s="13">
        <f>COUNTA(Payments_Recon!A5:A200)</f>
        <v>14</v>
      </c>
      <c r="D18" s="13">
        <f>COUNTIF(Payments_Recon!H:H,"High")+COUNTIF(Payments_Recon!H:H,"Critical")</f>
        <v>14</v>
      </c>
      <c r="E18" s="13">
        <f>COUNTIF(Payments_Recon!I:I,"Negative")+COUNTIF(Payments_Recon!I:I,"Security")+COUNTIF(Payments_Recon!I:I,"Data")</f>
        <v>3</v>
      </c>
      <c r="F18" s="13">
        <f>COUNTIF(Payments_Recon!J:J,"Yes")</f>
        <v>8</v>
      </c>
    </row>
    <row r="19" customFormat="1" ht="18" customHeight="1" spans="1:6">
      <c r="A19" s="6" t="s">
        <v>30</v>
      </c>
      <c r="B19" s="12" t="s">
        <v>31</v>
      </c>
      <c r="C19" s="13">
        <f>COUNTA(Integrations_Reports!A5:A200)</f>
        <v>11</v>
      </c>
      <c r="D19" s="13">
        <f>COUNTIF(Integrations_Reports!H:H,"High")+COUNTIF(Integrations_Reports!H:H,"Critical")</f>
        <v>10</v>
      </c>
      <c r="E19" s="13">
        <f>COUNTIF(Integrations_Reports!I:I,"Negative")+COUNTIF(Integrations_Reports!I:I,"Security")+COUNTIF(Integrations_Reports!I:I,"Data")</f>
        <v>3</v>
      </c>
      <c r="F19" s="13">
        <f>COUNTIF(Integrations_Reports!J:J,"Yes")</f>
        <v>4</v>
      </c>
    </row>
    <row r="20" customFormat="1" ht="18" customHeight="1" spans="1:6">
      <c r="A20" s="6" t="s">
        <v>32</v>
      </c>
      <c r="B20" s="12" t="s">
        <v>33</v>
      </c>
      <c r="C20" s="13">
        <f>COUNTA(End_to_End!A5:A200)</f>
        <v>8</v>
      </c>
      <c r="D20" s="13">
        <f>COUNTIF(End_to_End!H:H,"High")+COUNTIF(End_to_End!H:H,"Critical")</f>
        <v>8</v>
      </c>
      <c r="E20" s="13">
        <f>COUNTIF(End_to_End!I:I,"Negative")+COUNTIF(End_to_End!I:I,"Security")+COUNTIF(End_to_End!I:I,"Data")</f>
        <v>3</v>
      </c>
      <c r="F20" s="13">
        <f>COUNTIF(End_to_End!J:J,"Yes")</f>
        <v>1</v>
      </c>
    </row>
    <row r="21" customFormat="1" ht="19.95" customHeight="1" spans="1:6">
      <c r="A21" s="4" t="s">
        <v>34</v>
      </c>
      <c r="B21" s="4"/>
      <c r="C21">
        <f>SUM(C13:C20)</f>
        <v>84</v>
      </c>
      <c r="D21" s="14">
        <f>SUM(D13:D20)</f>
        <v>74</v>
      </c>
      <c r="E21">
        <f>SUM(E13:E20)</f>
        <v>26</v>
      </c>
      <c r="F21">
        <f>SUM(F13:F20)</f>
        <v>38</v>
      </c>
    </row>
    <row r="22" customFormat="1" ht="22.05" customHeight="1" spans="1:6">
      <c r="A22" s="9" t="s">
        <v>35</v>
      </c>
    </row>
    <row r="23" customFormat="1" ht="18" customHeight="1" spans="1:6">
      <c r="A23" s="4" t="s">
        <v>36</v>
      </c>
      <c r="B23" s="4" t="s">
        <v>37</v>
      </c>
      <c r="D23" s="14" t="s">
        <v>38</v>
      </c>
    </row>
    <row r="24" customFormat="1" ht="18" customHeight="1" spans="1:6">
      <c r="A24" s="15" t="s">
        <v>4</v>
      </c>
      <c r="B24" s="16">
        <f>COUNTIF(Setup_Admin!K:K,A24)+COUNTIF(Customers_CRM!K:K,A24)+COUNTIF(Sales_Orders!K:K,A24)+COUNTIF(Components_Pricing!K:K,A24)+COUNTIF(Financial_Config!K:K,A24)+COUNTIF(Payments_Recon!K:K,A24)+COUNTIF(Integrations_Reports!K:K,A24)+COUNTIF(End_to_End!K:K,A24)</f>
        <v>84</v>
      </c>
      <c r="D24" s="10" t="s">
        <v>39</v>
      </c>
      <c r="E24" s="16">
        <f>SUM(B24:B27)</f>
        <v>84</v>
      </c>
    </row>
    <row r="25" customFormat="1" ht="18" customHeight="1" spans="1:6">
      <c r="A25" s="15" t="s">
        <v>40</v>
      </c>
      <c r="B25" s="16">
        <f>COUNTIF(Setup_Admin!K:K,A25)+COUNTIF(Customers_CRM!K:K,A25)+COUNTIF(Sales_Orders!K:K,A25)+COUNTIF(Components_Pricing!K:K,A25)+COUNTIF(Financial_Config!K:K,A25)+COUNTIF(Payments_Recon!K:K,A25)+COUNTIF(Integrations_Reports!K:K,A25)+COUNTIF(End_to_End!K:K,A25)</f>
        <v>0</v>
      </c>
      <c r="D25" s="10" t="s">
        <v>41</v>
      </c>
      <c r="E25" s="16">
        <f>B25+B26+B27</f>
        <v>0</v>
      </c>
    </row>
    <row r="26" customFormat="1" ht="18" customHeight="1" spans="1:6">
      <c r="A26" s="15" t="s">
        <v>42</v>
      </c>
      <c r="B26" s="16">
        <f>COUNTIF(Setup_Admin!K:K,A26)+COUNTIF(Customers_CRM!K:K,A26)+COUNTIF(Sales_Orders!K:K,A26)+COUNTIF(Components_Pricing!K:K,A26)+COUNTIF(Financial_Config!K:K,A26)+COUNTIF(Payments_Recon!K:K,A26)+COUNTIF(Integrations_Reports!K:K,A26)+COUNTIF(End_to_End!K:K,A26)</f>
        <v>0</v>
      </c>
      <c r="D26" s="10" t="s">
        <v>43</v>
      </c>
      <c r="E26" s="17">
        <f>IF(E25=0,0,B25/E25)</f>
        <v>0</v>
      </c>
    </row>
    <row r="27" customFormat="1" ht="18" customHeight="1" spans="1:6">
      <c r="A27" s="15" t="s">
        <v>44</v>
      </c>
      <c r="B27" s="16">
        <f>COUNTIF(Setup_Admin!K:K,A27)+COUNTIF(Customers_CRM!K:K,A27)+COUNTIF(Sales_Orders!K:K,A27)+COUNTIF(Components_Pricing!K:K,A27)+COUNTIF(Financial_Config!K:K,A27)+COUNTIF(Payments_Recon!K:K,A27)+COUNTIF(Integrations_Reports!K:K,A27)+COUNTIF(End_to_End!K:K,A27)</f>
        <v>0</v>
      </c>
      <c r="D27" s="10" t="s">
        <v>45</v>
      </c>
      <c r="E27" s="17">
        <f>IF(E25=0,0,B26/E25)</f>
        <v>0</v>
      </c>
    </row>
    <row r="28" customFormat="1" ht="18" customHeight="1"/>
    <row r="29" customFormat="1" ht="18" customHeight="1"/>
    <row r="30" customFormat="1" ht="18" customHeight="1"/>
    <row r="31" customFormat="1" ht="18" customHeight="1"/>
    <row r="32" customFormat="1" ht="18" customHeight="1"/>
    <row r="33" customFormat="1" ht="18" customHeight="1"/>
    <row r="34" customFormat="1" ht="18" customHeight="1"/>
    <row r="35" customFormat="1" ht="18" customHeight="1"/>
    <row r="36" customFormat="1" ht="18" customHeight="1"/>
    <row r="37" customFormat="1" ht="18" customHeight="1"/>
    <row r="38" customFormat="1" ht="18" customHeight="1"/>
    <row r="39" customFormat="1" ht="18" customHeight="1"/>
  </sheetData>
  <mergeCells count="5">
    <mergeCell ref="A1:F1"/>
    <mergeCell ref="A5:F5"/>
    <mergeCell ref="A11:F11"/>
    <mergeCell ref="A22:F22"/>
    <mergeCell ref="D23:F2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showGridLines="0" topLeftCell="A8" workbookViewId="0">
      <selection activeCell="A1" sqref="$A1:$XFD1048576"/>
    </sheetView>
  </sheetViews>
  <sheetFormatPr defaultColWidth="9" defaultRowHeight="14.4"/>
  <cols>
    <col min="1" max="1" width="10.1111111111111" customWidth="1"/>
    <col min="2" max="2" width="13.3333333333333" customWidth="1"/>
    <col min="3" max="3" width="62.8888888888889" customWidth="1"/>
    <col min="4" max="4" width="25.8888888888889" customWidth="1"/>
    <col min="5" max="5" width="56" customWidth="1"/>
    <col min="6" max="6" width="33.3333333333333" customWidth="1"/>
    <col min="7" max="7" width="60.8888888888889" customWidth="1"/>
    <col min="8" max="8" width="7.44444444444444" customWidth="1"/>
    <col min="9" max="9" width="8.77777777777778" customWidth="1"/>
    <col min="10" max="10" width="19.8888888888889" customWidth="1"/>
    <col min="11" max="11" width="7.44444444444444" customWidth="1"/>
    <col min="12" max="12" width="25.2222222222222" customWidth="1"/>
  </cols>
  <sheetData>
    <row r="1" customFormat="1" ht="15.6" spans="1:12">
      <c r="A1" s="2" t="s">
        <v>46</v>
      </c>
    </row>
    <row r="2" spans="1:12">
      <c r="A2" s="3" t="s">
        <v>47</v>
      </c>
    </row>
    <row r="4" spans="1:12">
      <c r="A4" s="4" t="s">
        <v>48</v>
      </c>
      <c r="B4" s="4" t="s">
        <v>12</v>
      </c>
      <c r="C4" s="4" t="s">
        <v>49</v>
      </c>
      <c r="D4" s="4" t="s">
        <v>50</v>
      </c>
      <c r="E4" s="4" t="s">
        <v>51</v>
      </c>
      <c r="F4" s="4" t="s">
        <v>52</v>
      </c>
      <c r="G4" s="4" t="s">
        <v>53</v>
      </c>
      <c r="H4" s="4" t="s">
        <v>54</v>
      </c>
      <c r="I4" s="4" t="s">
        <v>55</v>
      </c>
      <c r="J4" s="4" t="s">
        <v>56</v>
      </c>
      <c r="K4" s="4" t="s">
        <v>36</v>
      </c>
      <c r="L4" s="4" t="s">
        <v>57</v>
      </c>
    </row>
    <row r="5" s="1" customFormat="1" ht="43.2" spans="1:12">
      <c r="A5" s="5" t="s">
        <v>58</v>
      </c>
      <c r="B5" s="5" t="s">
        <v>18</v>
      </c>
      <c r="C5" s="5" t="s">
        <v>59</v>
      </c>
      <c r="D5" s="5" t="s">
        <v>60</v>
      </c>
      <c r="E5" s="5" t="s">
        <v>61</v>
      </c>
      <c r="F5" s="5" t="s">
        <v>62</v>
      </c>
      <c r="G5" s="5" t="s">
        <v>63</v>
      </c>
      <c r="H5" s="5" t="s">
        <v>64</v>
      </c>
      <c r="I5" s="5" t="s">
        <v>65</v>
      </c>
      <c r="J5" s="5" t="s">
        <v>66</v>
      </c>
      <c r="K5" s="5" t="s">
        <v>4</v>
      </c>
      <c r="L5" s="5" t="s">
        <v>67</v>
      </c>
    </row>
    <row r="6" s="1" customFormat="1" ht="43.2" spans="1:12">
      <c r="A6" s="5" t="s">
        <v>68</v>
      </c>
      <c r="B6" s="5" t="s">
        <v>18</v>
      </c>
      <c r="C6" s="5" t="s">
        <v>69</v>
      </c>
      <c r="D6" s="5" t="s">
        <v>70</v>
      </c>
      <c r="E6" s="5" t="s">
        <v>71</v>
      </c>
      <c r="F6" s="5" t="s">
        <v>72</v>
      </c>
      <c r="G6" s="5" t="s">
        <v>73</v>
      </c>
      <c r="H6" s="5" t="s">
        <v>64</v>
      </c>
      <c r="I6" s="5" t="s">
        <v>74</v>
      </c>
      <c r="J6" s="5" t="s">
        <v>66</v>
      </c>
      <c r="K6" s="5" t="s">
        <v>4</v>
      </c>
      <c r="L6" s="5" t="s">
        <v>75</v>
      </c>
    </row>
    <row r="7" s="1" customFormat="1" ht="43.2" spans="1:12">
      <c r="A7" s="5" t="s">
        <v>76</v>
      </c>
      <c r="B7" s="5" t="s">
        <v>18</v>
      </c>
      <c r="C7" s="5" t="s">
        <v>77</v>
      </c>
      <c r="D7" s="5" t="s">
        <v>78</v>
      </c>
      <c r="E7" s="5" t="s">
        <v>79</v>
      </c>
      <c r="F7" s="5" t="s">
        <v>80</v>
      </c>
      <c r="G7" s="5" t="s">
        <v>81</v>
      </c>
      <c r="H7" s="5" t="s">
        <v>82</v>
      </c>
      <c r="I7" s="5" t="s">
        <v>74</v>
      </c>
      <c r="J7" s="5" t="s">
        <v>66</v>
      </c>
      <c r="K7" s="5" t="s">
        <v>4</v>
      </c>
      <c r="L7" s="5" t="s">
        <v>83</v>
      </c>
    </row>
    <row r="8" s="1" customFormat="1" ht="43.2" spans="1:12">
      <c r="A8" s="5" t="s">
        <v>84</v>
      </c>
      <c r="B8" s="5" t="s">
        <v>18</v>
      </c>
      <c r="C8" s="5" t="s">
        <v>85</v>
      </c>
      <c r="D8" s="5" t="s">
        <v>86</v>
      </c>
      <c r="E8" s="5" t="s">
        <v>87</v>
      </c>
      <c r="F8" s="5" t="s">
        <v>88</v>
      </c>
      <c r="G8" s="5" t="s">
        <v>89</v>
      </c>
      <c r="H8" s="5" t="s">
        <v>90</v>
      </c>
      <c r="I8" s="5" t="s">
        <v>91</v>
      </c>
      <c r="J8" s="5" t="s">
        <v>66</v>
      </c>
      <c r="K8" s="5" t="s">
        <v>4</v>
      </c>
      <c r="L8" s="5" t="s">
        <v>92</v>
      </c>
    </row>
    <row r="9" s="1" customFormat="1" ht="43.2" spans="1:12">
      <c r="A9" s="5" t="s">
        <v>93</v>
      </c>
      <c r="B9" s="5" t="s">
        <v>18</v>
      </c>
      <c r="C9" s="5" t="s">
        <v>94</v>
      </c>
      <c r="D9" s="5" t="s">
        <v>95</v>
      </c>
      <c r="E9" s="5" t="s">
        <v>96</v>
      </c>
      <c r="F9" s="5" t="s">
        <v>97</v>
      </c>
      <c r="G9" s="5" t="s">
        <v>98</v>
      </c>
      <c r="H9" s="5" t="s">
        <v>64</v>
      </c>
      <c r="I9" s="5" t="s">
        <v>99</v>
      </c>
      <c r="J9" s="5" t="s">
        <v>100</v>
      </c>
      <c r="K9" s="5" t="s">
        <v>4</v>
      </c>
      <c r="L9" s="5" t="s">
        <v>101</v>
      </c>
    </row>
    <row r="10" s="1" customFormat="1" ht="43.2" spans="1:12">
      <c r="A10" s="5" t="s">
        <v>102</v>
      </c>
      <c r="B10" s="5" t="s">
        <v>18</v>
      </c>
      <c r="C10" s="5" t="s">
        <v>103</v>
      </c>
      <c r="D10" s="5" t="s">
        <v>104</v>
      </c>
      <c r="E10" s="5" t="s">
        <v>105</v>
      </c>
      <c r="F10" s="5" t="s">
        <v>106</v>
      </c>
      <c r="G10" s="5" t="s">
        <v>107</v>
      </c>
      <c r="H10" s="5" t="s">
        <v>64</v>
      </c>
      <c r="I10" s="5" t="s">
        <v>108</v>
      </c>
      <c r="J10" s="5" t="s">
        <v>100</v>
      </c>
      <c r="K10" s="5" t="s">
        <v>4</v>
      </c>
      <c r="L10" s="5" t="s">
        <v>109</v>
      </c>
    </row>
    <row r="11" s="1" customFormat="1" ht="57.6" spans="1:12">
      <c r="A11" s="5" t="s">
        <v>110</v>
      </c>
      <c r="B11" s="5" t="s">
        <v>18</v>
      </c>
      <c r="C11" s="5" t="s">
        <v>111</v>
      </c>
      <c r="D11" s="5" t="s">
        <v>112</v>
      </c>
      <c r="E11" s="5" t="s">
        <v>113</v>
      </c>
      <c r="F11" s="5" t="s">
        <v>114</v>
      </c>
      <c r="G11" s="5" t="s">
        <v>115</v>
      </c>
      <c r="H11" s="5" t="s">
        <v>90</v>
      </c>
      <c r="I11" s="5" t="s">
        <v>108</v>
      </c>
      <c r="J11" s="5" t="s">
        <v>100</v>
      </c>
      <c r="K11" s="5" t="s">
        <v>4</v>
      </c>
      <c r="L11" s="5" t="s">
        <v>116</v>
      </c>
    </row>
    <row r="12" s="1" customFormat="1" ht="43.2" spans="1:12">
      <c r="A12" s="5" t="s">
        <v>117</v>
      </c>
      <c r="B12" s="5" t="s">
        <v>18</v>
      </c>
      <c r="C12" s="5" t="s">
        <v>118</v>
      </c>
      <c r="D12" s="5" t="s">
        <v>119</v>
      </c>
      <c r="E12" s="5" t="s">
        <v>120</v>
      </c>
      <c r="F12" s="5" t="s">
        <v>121</v>
      </c>
      <c r="G12" s="5" t="s">
        <v>122</v>
      </c>
      <c r="H12" s="5" t="s">
        <v>82</v>
      </c>
      <c r="I12" s="5" t="s">
        <v>99</v>
      </c>
      <c r="J12" s="5" t="s">
        <v>100</v>
      </c>
      <c r="K12" s="5" t="s">
        <v>4</v>
      </c>
      <c r="L12" s="5" t="s">
        <v>123</v>
      </c>
    </row>
    <row r="13" s="1" customFormat="1" ht="43.2" spans="1:12">
      <c r="A13" s="5" t="s">
        <v>124</v>
      </c>
      <c r="B13" s="5" t="s">
        <v>18</v>
      </c>
      <c r="C13" s="5" t="s">
        <v>125</v>
      </c>
      <c r="D13" s="5" t="s">
        <v>126</v>
      </c>
      <c r="E13" s="5" t="s">
        <v>127</v>
      </c>
      <c r="F13" s="5" t="s">
        <v>128</v>
      </c>
      <c r="G13" s="5" t="s">
        <v>129</v>
      </c>
      <c r="H13" s="5" t="s">
        <v>64</v>
      </c>
      <c r="I13" s="5" t="s">
        <v>74</v>
      </c>
      <c r="J13" s="5" t="s">
        <v>66</v>
      </c>
      <c r="K13" s="5" t="s">
        <v>4</v>
      </c>
      <c r="L13" s="5" t="s">
        <v>130</v>
      </c>
    </row>
    <row r="14" s="1" customFormat="1" ht="43.2" spans="1:12">
      <c r="A14" s="5" t="s">
        <v>131</v>
      </c>
      <c r="B14" s="5" t="s">
        <v>18</v>
      </c>
      <c r="C14" s="5" t="s">
        <v>132</v>
      </c>
      <c r="D14" s="5" t="s">
        <v>133</v>
      </c>
      <c r="E14" s="5" t="s">
        <v>134</v>
      </c>
      <c r="F14" s="5" t="s">
        <v>135</v>
      </c>
      <c r="G14" s="5" t="s">
        <v>136</v>
      </c>
      <c r="H14" s="5" t="s">
        <v>64</v>
      </c>
      <c r="I14" s="5" t="s">
        <v>91</v>
      </c>
      <c r="J14" s="5" t="s">
        <v>100</v>
      </c>
      <c r="K14" s="5" t="s">
        <v>4</v>
      </c>
      <c r="L14" s="5" t="s">
        <v>137</v>
      </c>
    </row>
    <row r="15" s="1" customFormat="1"/>
    <row r="16" s="1" customFormat="1"/>
    <row r="17" s="1" customFormat="1"/>
    <row r="18" s="1" customFormat="1"/>
  </sheetData>
  <mergeCells count="2">
    <mergeCell ref="A1:L1"/>
    <mergeCell ref="A2:L2"/>
  </mergeCells>
  <conditionalFormatting sqref="H5:H200">
    <cfRule type="expression" dxfId="0" priority="5">
      <formula>OR(H5="High",H5="Critical")</formula>
    </cfRule>
  </conditionalFormatting>
  <conditionalFormatting sqref="K5:K200">
    <cfRule type="expression" dxfId="1" priority="6">
      <formula>K5="Pass"</formula>
    </cfRule>
    <cfRule type="expression" dxfId="2" priority="7">
      <formula>K5="Fail"</formula>
    </cfRule>
    <cfRule type="expression" dxfId="3" priority="8">
      <formula>K5="Blocked"</formula>
    </cfRule>
  </conditionalFormatting>
  <dataValidations count="4">
    <dataValidation type="list" allowBlank="1" sqref="H5:H200">
      <formula1>"Critical,High,Medium,Low"</formula1>
    </dataValidation>
    <dataValidation type="list" allowBlank="1" sqref="I5:I200">
      <formula1>"Positive,Negative,Boundary,Security,Regression,Integration,Data"</formula1>
    </dataValidation>
    <dataValidation type="list" allowBlank="1" sqref="J5:J200">
      <formula1>"Yes,No,Later"</formula1>
    </dataValidation>
    <dataValidation type="list" allowBlank="1" sqref="K5:K200">
      <formula1>"Not Run,Pass,Fail,Blocked"</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
  <sheetViews>
    <sheetView showGridLines="0" workbookViewId="0">
      <selection activeCell="A1" sqref="$A1:$XFD1048576"/>
    </sheetView>
  </sheetViews>
  <sheetFormatPr defaultColWidth="42.1111111111111" defaultRowHeight="14.4"/>
  <cols>
    <col min="1" max="1" width="11.1111111111111" customWidth="1"/>
    <col min="2" max="2" width="15.5555555555556" customWidth="1"/>
    <col min="3" max="3" width="44.1111111111111" customWidth="1"/>
    <col min="4" max="4" width="41.3333333333333" customWidth="1"/>
    <col min="5" max="5" width="52.2222222222222" customWidth="1"/>
    <col min="6" max="6" width="25.7777777777778" customWidth="1"/>
    <col min="7" max="7" width="40.1111111111111" customWidth="1"/>
    <col min="8" max="8" width="7.44444444444444" customWidth="1"/>
    <col min="9" max="9" width="9.55555555555556" customWidth="1"/>
    <col min="10" max="10" width="19.8888888888889" customWidth="1"/>
    <col min="11" max="11" width="7.44444444444444" customWidth="1"/>
    <col min="12" max="12" width="25.8888888888889" customWidth="1"/>
  </cols>
  <sheetData>
    <row r="1" customFormat="1" ht="15.6" spans="1:12">
      <c r="A1" s="2" t="s">
        <v>138</v>
      </c>
    </row>
    <row r="2" spans="1:12">
      <c r="A2" s="3" t="s">
        <v>47</v>
      </c>
    </row>
    <row r="4" spans="1:12">
      <c r="A4" s="4" t="s">
        <v>48</v>
      </c>
      <c r="B4" s="4" t="s">
        <v>12</v>
      </c>
      <c r="C4" s="4" t="s">
        <v>49</v>
      </c>
      <c r="D4" s="4" t="s">
        <v>50</v>
      </c>
      <c r="E4" s="4" t="s">
        <v>51</v>
      </c>
      <c r="F4" s="4" t="s">
        <v>52</v>
      </c>
      <c r="G4" s="4" t="s">
        <v>53</v>
      </c>
      <c r="H4" s="4" t="s">
        <v>54</v>
      </c>
      <c r="I4" s="4" t="s">
        <v>55</v>
      </c>
      <c r="J4" s="4" t="s">
        <v>56</v>
      </c>
      <c r="K4" s="4" t="s">
        <v>36</v>
      </c>
      <c r="L4" s="4" t="s">
        <v>57</v>
      </c>
    </row>
    <row r="5" s="1" customFormat="1" ht="43.2" spans="1:12">
      <c r="A5" s="5" t="s">
        <v>139</v>
      </c>
      <c r="B5" s="5" t="s">
        <v>20</v>
      </c>
      <c r="C5" s="5" t="s">
        <v>140</v>
      </c>
      <c r="D5" s="5" t="s">
        <v>141</v>
      </c>
      <c r="E5" s="5" t="s">
        <v>142</v>
      </c>
      <c r="F5" s="5" t="s">
        <v>143</v>
      </c>
      <c r="G5" s="5" t="s">
        <v>144</v>
      </c>
      <c r="H5" s="5" t="s">
        <v>64</v>
      </c>
      <c r="I5" s="5" t="s">
        <v>65</v>
      </c>
      <c r="J5" s="5" t="s">
        <v>66</v>
      </c>
      <c r="K5" s="5" t="s">
        <v>4</v>
      </c>
      <c r="L5" s="5" t="s">
        <v>145</v>
      </c>
    </row>
    <row r="6" s="1" customFormat="1" ht="28.8" spans="1:12">
      <c r="A6" s="5" t="s">
        <v>146</v>
      </c>
      <c r="B6" s="5" t="s">
        <v>20</v>
      </c>
      <c r="C6" s="5" t="s">
        <v>147</v>
      </c>
      <c r="D6" s="5" t="s">
        <v>148</v>
      </c>
      <c r="E6" s="5" t="s">
        <v>149</v>
      </c>
      <c r="F6" s="5" t="s">
        <v>150</v>
      </c>
      <c r="G6" s="5" t="s">
        <v>151</v>
      </c>
      <c r="H6" s="5" t="s">
        <v>64</v>
      </c>
      <c r="I6" s="5" t="s">
        <v>74</v>
      </c>
      <c r="J6" s="5" t="s">
        <v>66</v>
      </c>
      <c r="K6" s="5" t="s">
        <v>4</v>
      </c>
      <c r="L6" s="5" t="s">
        <v>152</v>
      </c>
    </row>
    <row r="7" s="1" customFormat="1" ht="43.2" spans="1:12">
      <c r="A7" s="5" t="s">
        <v>153</v>
      </c>
      <c r="B7" s="5" t="s">
        <v>20</v>
      </c>
      <c r="C7" s="5" t="s">
        <v>154</v>
      </c>
      <c r="D7" s="5" t="s">
        <v>155</v>
      </c>
      <c r="E7" s="5" t="s">
        <v>156</v>
      </c>
      <c r="F7" s="5" t="s">
        <v>157</v>
      </c>
      <c r="G7" s="5" t="s">
        <v>158</v>
      </c>
      <c r="H7" s="5" t="s">
        <v>64</v>
      </c>
      <c r="I7" s="5" t="s">
        <v>65</v>
      </c>
      <c r="J7" s="5" t="s">
        <v>66</v>
      </c>
      <c r="K7" s="5" t="s">
        <v>4</v>
      </c>
      <c r="L7" s="5" t="s">
        <v>159</v>
      </c>
    </row>
    <row r="8" s="1" customFormat="1" ht="28.8" spans="1:12">
      <c r="A8" s="5" t="s">
        <v>160</v>
      </c>
      <c r="B8" s="5" t="s">
        <v>20</v>
      </c>
      <c r="C8" s="5" t="s">
        <v>161</v>
      </c>
      <c r="D8" s="5" t="s">
        <v>162</v>
      </c>
      <c r="E8" s="5" t="s">
        <v>163</v>
      </c>
      <c r="F8" s="5" t="s">
        <v>164</v>
      </c>
      <c r="G8" s="5" t="s">
        <v>165</v>
      </c>
      <c r="H8" s="5" t="s">
        <v>64</v>
      </c>
      <c r="I8" s="5" t="s">
        <v>74</v>
      </c>
      <c r="J8" s="5" t="s">
        <v>66</v>
      </c>
      <c r="K8" s="5" t="s">
        <v>4</v>
      </c>
      <c r="L8" s="5" t="s">
        <v>166</v>
      </c>
    </row>
    <row r="9" s="1" customFormat="1" ht="43.2" spans="1:12">
      <c r="A9" s="5" t="s">
        <v>167</v>
      </c>
      <c r="B9" s="5" t="s">
        <v>20</v>
      </c>
      <c r="C9" s="5" t="s">
        <v>168</v>
      </c>
      <c r="D9" s="5" t="s">
        <v>169</v>
      </c>
      <c r="E9" s="5" t="s">
        <v>170</v>
      </c>
      <c r="F9" s="5" t="s">
        <v>171</v>
      </c>
      <c r="G9" s="5" t="s">
        <v>172</v>
      </c>
      <c r="H9" s="5" t="s">
        <v>82</v>
      </c>
      <c r="I9" s="5" t="s">
        <v>99</v>
      </c>
      <c r="J9" s="5" t="s">
        <v>100</v>
      </c>
      <c r="K9" s="5" t="s">
        <v>4</v>
      </c>
      <c r="L9" s="5" t="s">
        <v>173</v>
      </c>
    </row>
    <row r="10" s="1" customFormat="1" ht="43.2" spans="1:12">
      <c r="A10" s="5" t="s">
        <v>174</v>
      </c>
      <c r="B10" s="5" t="s">
        <v>20</v>
      </c>
      <c r="C10" s="5" t="s">
        <v>175</v>
      </c>
      <c r="D10" s="5" t="s">
        <v>176</v>
      </c>
      <c r="E10" s="5" t="s">
        <v>177</v>
      </c>
      <c r="F10" s="5" t="s">
        <v>178</v>
      </c>
      <c r="G10" s="5" t="s">
        <v>179</v>
      </c>
      <c r="H10" s="5" t="s">
        <v>82</v>
      </c>
      <c r="I10" s="5" t="s">
        <v>99</v>
      </c>
      <c r="J10" s="5" t="s">
        <v>100</v>
      </c>
      <c r="K10" s="5" t="s">
        <v>4</v>
      </c>
      <c r="L10" s="5" t="s">
        <v>180</v>
      </c>
    </row>
    <row r="11" s="1" customFormat="1" ht="43.2" spans="1:12">
      <c r="A11" s="5" t="s">
        <v>181</v>
      </c>
      <c r="B11" s="5" t="s">
        <v>20</v>
      </c>
      <c r="C11" s="5" t="s">
        <v>182</v>
      </c>
      <c r="D11" s="5" t="s">
        <v>183</v>
      </c>
      <c r="E11" s="5" t="s">
        <v>184</v>
      </c>
      <c r="F11" s="5" t="s">
        <v>185</v>
      </c>
      <c r="G11" s="5" t="s">
        <v>186</v>
      </c>
      <c r="H11" s="5" t="s">
        <v>82</v>
      </c>
      <c r="I11" s="5" t="s">
        <v>65</v>
      </c>
      <c r="J11" s="5" t="s">
        <v>66</v>
      </c>
      <c r="K11" s="5" t="s">
        <v>4</v>
      </c>
      <c r="L11" s="5" t="s">
        <v>187</v>
      </c>
    </row>
    <row r="12" s="1" customFormat="1" ht="57.6" spans="1:12">
      <c r="A12" s="5" t="s">
        <v>188</v>
      </c>
      <c r="B12" s="5" t="s">
        <v>20</v>
      </c>
      <c r="C12" s="5" t="s">
        <v>189</v>
      </c>
      <c r="D12" s="5" t="s">
        <v>190</v>
      </c>
      <c r="E12" s="5" t="s">
        <v>191</v>
      </c>
      <c r="F12" s="5" t="s">
        <v>192</v>
      </c>
      <c r="G12" s="5" t="s">
        <v>193</v>
      </c>
      <c r="H12" s="5" t="s">
        <v>64</v>
      </c>
      <c r="I12" s="5" t="s">
        <v>74</v>
      </c>
      <c r="J12" s="5" t="s">
        <v>100</v>
      </c>
      <c r="K12" s="5" t="s">
        <v>4</v>
      </c>
      <c r="L12" s="5" t="s">
        <v>194</v>
      </c>
    </row>
    <row r="13" s="1" customFormat="1" ht="43.2" spans="1:12">
      <c r="A13" s="5" t="s">
        <v>195</v>
      </c>
      <c r="B13" s="5" t="s">
        <v>20</v>
      </c>
      <c r="C13" s="5" t="s">
        <v>196</v>
      </c>
      <c r="D13" s="5" t="s">
        <v>197</v>
      </c>
      <c r="E13" s="5" t="s">
        <v>198</v>
      </c>
      <c r="F13" s="5" t="s">
        <v>199</v>
      </c>
      <c r="G13" s="5" t="s">
        <v>200</v>
      </c>
      <c r="H13" s="5" t="s">
        <v>64</v>
      </c>
      <c r="I13" s="5" t="s">
        <v>91</v>
      </c>
      <c r="J13" s="5" t="s">
        <v>100</v>
      </c>
      <c r="K13" s="5" t="s">
        <v>4</v>
      </c>
      <c r="L13" s="5" t="s">
        <v>201</v>
      </c>
    </row>
    <row r="14" s="1" customFormat="1" ht="43.2" spans="1:12">
      <c r="A14" s="5" t="s">
        <v>202</v>
      </c>
      <c r="B14" s="5" t="s">
        <v>20</v>
      </c>
      <c r="C14" s="5" t="s">
        <v>203</v>
      </c>
      <c r="D14" s="5" t="s">
        <v>204</v>
      </c>
      <c r="E14" s="5" t="s">
        <v>205</v>
      </c>
      <c r="F14" s="5" t="s">
        <v>206</v>
      </c>
      <c r="G14" s="5" t="s">
        <v>207</v>
      </c>
      <c r="H14" s="5" t="s">
        <v>90</v>
      </c>
      <c r="I14" s="5" t="s">
        <v>99</v>
      </c>
      <c r="J14" s="5" t="s">
        <v>100</v>
      </c>
      <c r="K14" s="5" t="s">
        <v>4</v>
      </c>
      <c r="L14" s="5" t="s">
        <v>208</v>
      </c>
    </row>
    <row r="15" s="1" customFormat="1"/>
    <row r="16" s="1" customFormat="1"/>
    <row r="17" s="1" customFormat="1"/>
    <row r="18" s="1" customFormat="1"/>
    <row r="19" s="1" customFormat="1"/>
    <row r="20" s="1" customFormat="1"/>
    <row r="21" s="1" customFormat="1"/>
    <row r="22" s="1" customFormat="1"/>
  </sheetData>
  <mergeCells count="2">
    <mergeCell ref="A1:L1"/>
    <mergeCell ref="A2:L2"/>
  </mergeCells>
  <conditionalFormatting sqref="H5:H200">
    <cfRule type="expression" dxfId="0" priority="1">
      <formula>OR(H5="High",H5="Critical")</formula>
    </cfRule>
  </conditionalFormatting>
  <conditionalFormatting sqref="K5:K200">
    <cfRule type="expression" dxfId="1" priority="2">
      <formula>K5="Pass"</formula>
    </cfRule>
    <cfRule type="expression" dxfId="2" priority="3">
      <formula>K5="Fail"</formula>
    </cfRule>
    <cfRule type="expression" dxfId="3" priority="4">
      <formula>K5="Blocked"</formula>
    </cfRule>
  </conditionalFormatting>
  <dataValidations count="4">
    <dataValidation type="list" allowBlank="1" sqref="H5:H200">
      <formula1>"Critical,High,Medium,Low"</formula1>
    </dataValidation>
    <dataValidation type="list" allowBlank="1" sqref="I5:I200">
      <formula1>"Positive,Negative,Boundary,Security,Regression,Integration,Data"</formula1>
    </dataValidation>
    <dataValidation type="list" allowBlank="1" sqref="J5:J200">
      <formula1>"Yes,No,Later"</formula1>
    </dataValidation>
    <dataValidation type="list" allowBlank="1" sqref="K5:K200">
      <formula1>"Not Run,Pass,Fail,Blocked"</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showGridLines="0" tabSelected="1" workbookViewId="0">
      <selection activeCell="A1" sqref="$A1:$XFD1048576"/>
    </sheetView>
  </sheetViews>
  <sheetFormatPr defaultColWidth="9" defaultRowHeight="14.4"/>
  <cols>
    <col min="1" max="1" width="10.1111111111111" customWidth="1"/>
    <col min="2" max="2" width="7.33333333333333" customWidth="1"/>
    <col min="3" max="3" width="69.5555555555556" customWidth="1"/>
    <col min="4" max="4" width="38.7777777777778" customWidth="1"/>
    <col min="5" max="5" width="56.7777777777778" customWidth="1"/>
    <col min="6" max="6" width="32" customWidth="1"/>
    <col min="7" max="7" width="69" customWidth="1"/>
    <col min="8" max="8" width="7.44444444444444" customWidth="1"/>
    <col min="9" max="9" width="9.77777777777778" customWidth="1"/>
    <col min="10" max="10" width="19.8888888888889" customWidth="1"/>
    <col min="11" max="11" width="7.44444444444444" customWidth="1"/>
    <col min="12" max="12" width="26" customWidth="1"/>
  </cols>
  <sheetData>
    <row r="1" customFormat="1" ht="15.6" spans="1:12">
      <c r="A1" s="2" t="s">
        <v>209</v>
      </c>
    </row>
    <row r="2" spans="1:12">
      <c r="A2" s="3" t="s">
        <v>47</v>
      </c>
    </row>
    <row r="4" spans="1:12">
      <c r="A4" s="4" t="s">
        <v>48</v>
      </c>
      <c r="B4" s="4" t="s">
        <v>12</v>
      </c>
      <c r="C4" s="4" t="s">
        <v>49</v>
      </c>
      <c r="D4" s="4" t="s">
        <v>50</v>
      </c>
      <c r="E4" s="4" t="s">
        <v>51</v>
      </c>
      <c r="F4" s="4" t="s">
        <v>52</v>
      </c>
      <c r="G4" s="4" t="s">
        <v>53</v>
      </c>
      <c r="H4" s="4" t="s">
        <v>54</v>
      </c>
      <c r="I4" s="4" t="s">
        <v>55</v>
      </c>
      <c r="J4" s="4" t="s">
        <v>56</v>
      </c>
      <c r="K4" s="4" t="s">
        <v>36</v>
      </c>
      <c r="L4" s="4" t="s">
        <v>57</v>
      </c>
    </row>
    <row r="5" s="1" customFormat="1" ht="43.2" spans="1:12">
      <c r="A5" s="5" t="s">
        <v>210</v>
      </c>
      <c r="B5" s="5" t="s">
        <v>22</v>
      </c>
      <c r="C5" s="5" t="s">
        <v>211</v>
      </c>
      <c r="D5" s="5" t="s">
        <v>212</v>
      </c>
      <c r="E5" s="5" t="s">
        <v>213</v>
      </c>
      <c r="F5" s="5" t="s">
        <v>214</v>
      </c>
      <c r="G5" s="5" t="s">
        <v>215</v>
      </c>
      <c r="H5" s="5" t="s">
        <v>90</v>
      </c>
      <c r="I5" s="5" t="s">
        <v>65</v>
      </c>
      <c r="J5" s="5" t="s">
        <v>66</v>
      </c>
      <c r="K5" s="5" t="s">
        <v>4</v>
      </c>
      <c r="L5" s="5" t="s">
        <v>216</v>
      </c>
    </row>
    <row r="6" s="1" customFormat="1" ht="43.2" spans="1:12">
      <c r="A6" s="5" t="s">
        <v>217</v>
      </c>
      <c r="B6" s="5" t="s">
        <v>22</v>
      </c>
      <c r="C6" s="5" t="s">
        <v>218</v>
      </c>
      <c r="D6" s="5" t="s">
        <v>219</v>
      </c>
      <c r="E6" s="5" t="s">
        <v>220</v>
      </c>
      <c r="F6" s="5" t="s">
        <v>221</v>
      </c>
      <c r="G6" s="5" t="s">
        <v>222</v>
      </c>
      <c r="H6" s="5" t="s">
        <v>90</v>
      </c>
      <c r="I6" s="5" t="s">
        <v>99</v>
      </c>
      <c r="J6" s="5" t="s">
        <v>66</v>
      </c>
      <c r="K6" s="5" t="s">
        <v>4</v>
      </c>
      <c r="L6" s="5" t="s">
        <v>223</v>
      </c>
    </row>
    <row r="7" s="1" customFormat="1" ht="43.2" spans="1:12">
      <c r="A7" s="5" t="s">
        <v>224</v>
      </c>
      <c r="B7" s="5" t="s">
        <v>22</v>
      </c>
      <c r="C7" s="5" t="s">
        <v>225</v>
      </c>
      <c r="D7" s="5" t="s">
        <v>226</v>
      </c>
      <c r="E7" s="5" t="s">
        <v>227</v>
      </c>
      <c r="F7" s="5" t="s">
        <v>228</v>
      </c>
      <c r="G7" s="5" t="s">
        <v>229</v>
      </c>
      <c r="H7" s="5" t="s">
        <v>64</v>
      </c>
      <c r="I7" s="5" t="s">
        <v>65</v>
      </c>
      <c r="J7" s="5" t="s">
        <v>66</v>
      </c>
      <c r="K7" s="5" t="s">
        <v>4</v>
      </c>
      <c r="L7" s="5" t="s">
        <v>230</v>
      </c>
    </row>
    <row r="8" s="1" customFormat="1" ht="43.2" spans="1:12">
      <c r="A8" s="5" t="s">
        <v>231</v>
      </c>
      <c r="B8" s="5" t="s">
        <v>22</v>
      </c>
      <c r="C8" s="5" t="s">
        <v>232</v>
      </c>
      <c r="D8" s="5" t="s">
        <v>233</v>
      </c>
      <c r="E8" s="5" t="s">
        <v>234</v>
      </c>
      <c r="F8" s="5" t="s">
        <v>235</v>
      </c>
      <c r="G8" s="5" t="s">
        <v>236</v>
      </c>
      <c r="H8" s="5" t="s">
        <v>90</v>
      </c>
      <c r="I8" s="5" t="s">
        <v>74</v>
      </c>
      <c r="J8" s="5" t="s">
        <v>66</v>
      </c>
      <c r="K8" s="5" t="s">
        <v>4</v>
      </c>
      <c r="L8" s="5" t="s">
        <v>237</v>
      </c>
    </row>
    <row r="9" s="1" customFormat="1" ht="43.2" spans="1:12">
      <c r="A9" s="5" t="s">
        <v>238</v>
      </c>
      <c r="B9" s="5" t="s">
        <v>22</v>
      </c>
      <c r="C9" s="5" t="s">
        <v>239</v>
      </c>
      <c r="D9" s="5" t="s">
        <v>240</v>
      </c>
      <c r="E9" s="5" t="s">
        <v>241</v>
      </c>
      <c r="F9" s="5" t="s">
        <v>242</v>
      </c>
      <c r="G9" s="5" t="s">
        <v>243</v>
      </c>
      <c r="H9" s="5" t="s">
        <v>82</v>
      </c>
      <c r="I9" s="5" t="s">
        <v>65</v>
      </c>
      <c r="J9" s="5" t="s">
        <v>66</v>
      </c>
      <c r="K9" s="5" t="s">
        <v>4</v>
      </c>
      <c r="L9" s="5" t="s">
        <v>244</v>
      </c>
    </row>
    <row r="10" s="1" customFormat="1" ht="43.2" spans="1:12">
      <c r="A10" s="5" t="s">
        <v>245</v>
      </c>
      <c r="B10" s="5" t="s">
        <v>22</v>
      </c>
      <c r="C10" s="5" t="s">
        <v>246</v>
      </c>
      <c r="D10" s="5" t="s">
        <v>247</v>
      </c>
      <c r="E10" s="5" t="s">
        <v>248</v>
      </c>
      <c r="F10" s="5" t="s">
        <v>249</v>
      </c>
      <c r="G10" s="5" t="s">
        <v>250</v>
      </c>
      <c r="H10" s="5" t="s">
        <v>64</v>
      </c>
      <c r="I10" s="5" t="s">
        <v>99</v>
      </c>
      <c r="J10" s="5" t="s">
        <v>100</v>
      </c>
      <c r="K10" s="5" t="s">
        <v>4</v>
      </c>
      <c r="L10" s="5" t="s">
        <v>251</v>
      </c>
    </row>
    <row r="11" s="1" customFormat="1" ht="43.2" spans="1:12">
      <c r="A11" s="5" t="s">
        <v>252</v>
      </c>
      <c r="B11" s="5" t="s">
        <v>22</v>
      </c>
      <c r="C11" s="5" t="s">
        <v>253</v>
      </c>
      <c r="D11" s="5" t="s">
        <v>254</v>
      </c>
      <c r="E11" s="5" t="s">
        <v>255</v>
      </c>
      <c r="F11" s="5" t="s">
        <v>256</v>
      </c>
      <c r="G11" s="5" t="s">
        <v>257</v>
      </c>
      <c r="H11" s="5" t="s">
        <v>64</v>
      </c>
      <c r="I11" s="5" t="s">
        <v>108</v>
      </c>
      <c r="J11" s="5" t="s">
        <v>100</v>
      </c>
      <c r="K11" s="5" t="s">
        <v>4</v>
      </c>
      <c r="L11" s="5" t="s">
        <v>258</v>
      </c>
    </row>
    <row r="12" s="1" customFormat="1" ht="43.2" spans="1:12">
      <c r="A12" s="5" t="s">
        <v>259</v>
      </c>
      <c r="B12" s="5" t="s">
        <v>22</v>
      </c>
      <c r="C12" s="5" t="s">
        <v>260</v>
      </c>
      <c r="D12" s="5" t="s">
        <v>261</v>
      </c>
      <c r="E12" s="5" t="s">
        <v>262</v>
      </c>
      <c r="F12" s="5" t="s">
        <v>263</v>
      </c>
      <c r="G12" s="5" t="s">
        <v>264</v>
      </c>
      <c r="H12" s="5" t="s">
        <v>64</v>
      </c>
      <c r="I12" s="5" t="s">
        <v>265</v>
      </c>
      <c r="J12" s="5" t="s">
        <v>66</v>
      </c>
      <c r="K12" s="5" t="s">
        <v>4</v>
      </c>
      <c r="L12" s="5" t="s">
        <v>266</v>
      </c>
    </row>
    <row r="13" s="1" customFormat="1" ht="43.2" spans="1:12">
      <c r="A13" s="5" t="s">
        <v>267</v>
      </c>
      <c r="B13" s="5" t="s">
        <v>22</v>
      </c>
      <c r="C13" s="5" t="s">
        <v>268</v>
      </c>
      <c r="D13" s="5" t="s">
        <v>269</v>
      </c>
      <c r="E13" s="5" t="s">
        <v>270</v>
      </c>
      <c r="F13" s="5" t="s">
        <v>271</v>
      </c>
      <c r="G13" s="5" t="s">
        <v>272</v>
      </c>
      <c r="H13" s="5" t="s">
        <v>90</v>
      </c>
      <c r="I13" s="5" t="s">
        <v>265</v>
      </c>
      <c r="J13" s="5" t="s">
        <v>100</v>
      </c>
      <c r="K13" s="5" t="s">
        <v>4</v>
      </c>
      <c r="L13" s="5" t="s">
        <v>273</v>
      </c>
    </row>
    <row r="14" s="1" customFormat="1" ht="43.2" spans="1:12">
      <c r="A14" s="5" t="s">
        <v>274</v>
      </c>
      <c r="B14" s="5" t="s">
        <v>22</v>
      </c>
      <c r="C14" s="5" t="s">
        <v>275</v>
      </c>
      <c r="D14" s="5" t="s">
        <v>276</v>
      </c>
      <c r="E14" s="5" t="s">
        <v>277</v>
      </c>
      <c r="F14" s="5" t="s">
        <v>278</v>
      </c>
      <c r="G14" s="5" t="s">
        <v>279</v>
      </c>
      <c r="H14" s="5" t="s">
        <v>90</v>
      </c>
      <c r="I14" s="5" t="s">
        <v>99</v>
      </c>
      <c r="J14" s="5" t="s">
        <v>66</v>
      </c>
      <c r="K14" s="5" t="s">
        <v>4</v>
      </c>
      <c r="L14" s="5" t="s">
        <v>280</v>
      </c>
    </row>
    <row r="15" s="1" customFormat="1" ht="43.2" spans="1:12">
      <c r="A15" s="5" t="s">
        <v>281</v>
      </c>
      <c r="B15" s="5" t="s">
        <v>22</v>
      </c>
      <c r="C15" s="5" t="s">
        <v>282</v>
      </c>
      <c r="D15" s="5" t="s">
        <v>283</v>
      </c>
      <c r="E15" s="5" t="s">
        <v>284</v>
      </c>
      <c r="F15" s="5" t="s">
        <v>285</v>
      </c>
      <c r="G15" s="5" t="s">
        <v>286</v>
      </c>
      <c r="H15" s="5" t="s">
        <v>90</v>
      </c>
      <c r="I15" s="5" t="s">
        <v>91</v>
      </c>
      <c r="J15" s="5" t="s">
        <v>100</v>
      </c>
      <c r="K15" s="5" t="s">
        <v>4</v>
      </c>
      <c r="L15" s="5" t="s">
        <v>287</v>
      </c>
    </row>
    <row r="16" s="1" customFormat="1" ht="43.2" spans="1:12">
      <c r="A16" s="5" t="s">
        <v>288</v>
      </c>
      <c r="B16" s="5" t="s">
        <v>22</v>
      </c>
      <c r="C16" s="5" t="s">
        <v>289</v>
      </c>
      <c r="D16" s="5" t="s">
        <v>290</v>
      </c>
      <c r="E16" s="5" t="s">
        <v>291</v>
      </c>
      <c r="F16" s="5" t="s">
        <v>292</v>
      </c>
      <c r="G16" s="5" t="s">
        <v>293</v>
      </c>
      <c r="H16" s="5" t="s">
        <v>82</v>
      </c>
      <c r="I16" s="5" t="s">
        <v>74</v>
      </c>
      <c r="J16" s="5" t="s">
        <v>100</v>
      </c>
      <c r="K16" s="5" t="s">
        <v>4</v>
      </c>
      <c r="L16" s="5" t="s">
        <v>294</v>
      </c>
    </row>
    <row r="17" s="1" customFormat="1"/>
    <row r="18" s="1" customFormat="1"/>
  </sheetData>
  <mergeCells count="2">
    <mergeCell ref="A1:L1"/>
    <mergeCell ref="A2:L2"/>
  </mergeCells>
  <conditionalFormatting sqref="H5:H200">
    <cfRule type="expression" dxfId="0" priority="1">
      <formula>OR(H5="High",H5="Critical")</formula>
    </cfRule>
  </conditionalFormatting>
  <conditionalFormatting sqref="K5:K200">
    <cfRule type="expression" dxfId="1" priority="2">
      <formula>K5="Pass"</formula>
    </cfRule>
    <cfRule type="expression" dxfId="2" priority="3">
      <formula>K5="Fail"</formula>
    </cfRule>
    <cfRule type="expression" dxfId="3" priority="4">
      <formula>K5="Blocked"</formula>
    </cfRule>
  </conditionalFormatting>
  <dataValidations count="4">
    <dataValidation type="list" allowBlank="1" sqref="H5:H200">
      <formula1>"Critical,High,Medium,Low"</formula1>
    </dataValidation>
    <dataValidation type="list" allowBlank="1" sqref="I5:I200">
      <formula1>"Positive,Negative,Boundary,Security,Regression,Integration,Data"</formula1>
    </dataValidation>
    <dataValidation type="list" allowBlank="1" sqref="J5:J200">
      <formula1>"Yes,No,Later"</formula1>
    </dataValidation>
    <dataValidation type="list" allowBlank="1" sqref="K5:K200">
      <formula1>"Not Run,Pass,Fail,Blocked"</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showGridLines="0" workbookViewId="0">
      <selection activeCell="A1" sqref="A1:L1"/>
    </sheetView>
  </sheetViews>
  <sheetFormatPr defaultColWidth="24.1111111111111" defaultRowHeight="14.4"/>
  <cols>
    <col min="1" max="1" width="10.5555555555556" customWidth="1"/>
    <col min="2" max="2" width="20.4444444444444" customWidth="1"/>
    <col min="3" max="3" width="58" customWidth="1"/>
    <col min="4" max="4" width="36.2222222222222" customWidth="1"/>
    <col min="5" max="5" width="87.2222222222222" customWidth="1"/>
    <col min="6" max="6" width="34.4444444444444" customWidth="1"/>
    <col min="7" max="7" width="57.4444444444444" customWidth="1"/>
    <col min="8" max="8" width="8.22222222222222" customWidth="1"/>
    <col min="9" max="9" width="8.77777777777778" customWidth="1"/>
    <col min="10" max="10" width="20.7777777777778" customWidth="1"/>
    <col min="11" max="11" width="11.5" customWidth="1"/>
    <col min="12" max="12" width="26" customWidth="1"/>
  </cols>
  <sheetData>
    <row r="1" customFormat="1" ht="15.6" customHeight="1" spans="1:12">
      <c r="A1" s="2" t="s">
        <v>295</v>
      </c>
    </row>
    <row r="2" spans="1:12">
      <c r="A2" s="3" t="s">
        <v>47</v>
      </c>
    </row>
    <row r="4" spans="1:12">
      <c r="A4" s="4" t="s">
        <v>48</v>
      </c>
      <c r="B4" s="4" t="s">
        <v>12</v>
      </c>
      <c r="C4" s="4" t="s">
        <v>49</v>
      </c>
      <c r="D4" s="4" t="s">
        <v>50</v>
      </c>
      <c r="E4" s="4" t="s">
        <v>51</v>
      </c>
      <c r="F4" s="4" t="s">
        <v>52</v>
      </c>
      <c r="G4" s="4" t="s">
        <v>53</v>
      </c>
      <c r="H4" s="4" t="s">
        <v>54</v>
      </c>
      <c r="I4" s="4" t="s">
        <v>55</v>
      </c>
      <c r="J4" s="4" t="s">
        <v>56</v>
      </c>
      <c r="K4" s="4" t="s">
        <v>36</v>
      </c>
      <c r="L4" s="4" t="s">
        <v>57</v>
      </c>
    </row>
    <row r="5" s="1" customFormat="1" ht="43.2" customHeight="1" spans="1:12">
      <c r="A5" s="5" t="s">
        <v>296</v>
      </c>
      <c r="B5" s="5" t="s">
        <v>24</v>
      </c>
      <c r="C5" s="5" t="s">
        <v>297</v>
      </c>
      <c r="D5" s="5" t="s">
        <v>298</v>
      </c>
      <c r="E5" s="5" t="s">
        <v>299</v>
      </c>
      <c r="F5" s="5" t="s">
        <v>300</v>
      </c>
      <c r="G5" s="5" t="s">
        <v>301</v>
      </c>
      <c r="H5" s="5" t="s">
        <v>64</v>
      </c>
      <c r="I5" s="5" t="s">
        <v>65</v>
      </c>
      <c r="J5" s="5" t="s">
        <v>66</v>
      </c>
      <c r="K5" s="5" t="s">
        <v>4</v>
      </c>
      <c r="L5" s="5" t="s">
        <v>302</v>
      </c>
    </row>
    <row r="6" s="1" customFormat="1" ht="43.2" customHeight="1" spans="1:12">
      <c r="A6" s="5" t="s">
        <v>303</v>
      </c>
      <c r="B6" s="5" t="s">
        <v>24</v>
      </c>
      <c r="C6" s="5" t="s">
        <v>304</v>
      </c>
      <c r="D6" s="5" t="s">
        <v>305</v>
      </c>
      <c r="E6" s="5" t="s">
        <v>306</v>
      </c>
      <c r="F6" s="5" t="s">
        <v>307</v>
      </c>
      <c r="G6" s="5" t="s">
        <v>308</v>
      </c>
      <c r="H6" s="5" t="s">
        <v>82</v>
      </c>
      <c r="I6" s="5" t="s">
        <v>99</v>
      </c>
      <c r="J6" s="5" t="s">
        <v>100</v>
      </c>
      <c r="K6" s="5" t="s">
        <v>4</v>
      </c>
      <c r="L6" s="5" t="s">
        <v>309</v>
      </c>
    </row>
    <row r="7" s="1" customFormat="1" ht="43.2" customHeight="1" spans="1:12">
      <c r="A7" s="5" t="s">
        <v>310</v>
      </c>
      <c r="B7" s="5" t="s">
        <v>24</v>
      </c>
      <c r="C7" s="5" t="s">
        <v>311</v>
      </c>
      <c r="D7" s="5" t="s">
        <v>312</v>
      </c>
      <c r="E7" s="5" t="s">
        <v>313</v>
      </c>
      <c r="F7" s="5" t="s">
        <v>314</v>
      </c>
      <c r="G7" s="5" t="s">
        <v>315</v>
      </c>
      <c r="H7" s="5" t="s">
        <v>64</v>
      </c>
      <c r="I7" s="5" t="s">
        <v>65</v>
      </c>
      <c r="J7" s="5" t="s">
        <v>66</v>
      </c>
      <c r="K7" s="5" t="s">
        <v>4</v>
      </c>
      <c r="L7" s="5" t="s">
        <v>316</v>
      </c>
    </row>
    <row r="8" s="1" customFormat="1" ht="43.2" customHeight="1" spans="1:12">
      <c r="A8" s="5" t="s">
        <v>317</v>
      </c>
      <c r="B8" s="5" t="s">
        <v>24</v>
      </c>
      <c r="C8" s="5" t="s">
        <v>318</v>
      </c>
      <c r="D8" s="5" t="s">
        <v>319</v>
      </c>
      <c r="E8" s="5" t="s">
        <v>320</v>
      </c>
      <c r="F8" s="5" t="s">
        <v>321</v>
      </c>
      <c r="G8" s="5" t="s">
        <v>322</v>
      </c>
      <c r="H8" s="5" t="s">
        <v>64</v>
      </c>
      <c r="I8" s="5" t="s">
        <v>108</v>
      </c>
      <c r="J8" s="5" t="s">
        <v>100</v>
      </c>
      <c r="K8" s="5" t="s">
        <v>4</v>
      </c>
      <c r="L8" s="5" t="s">
        <v>323</v>
      </c>
    </row>
    <row r="9" s="1" customFormat="1" ht="43.2" customHeight="1" spans="1:12">
      <c r="A9" s="5" t="s">
        <v>324</v>
      </c>
      <c r="B9" s="5" t="s">
        <v>24</v>
      </c>
      <c r="C9" s="5" t="s">
        <v>325</v>
      </c>
      <c r="D9" s="5" t="s">
        <v>326</v>
      </c>
      <c r="E9" s="5" t="s">
        <v>327</v>
      </c>
      <c r="F9" s="5" t="s">
        <v>328</v>
      </c>
      <c r="G9" s="5" t="s">
        <v>329</v>
      </c>
      <c r="H9" s="5" t="s">
        <v>90</v>
      </c>
      <c r="I9" s="5" t="s">
        <v>65</v>
      </c>
      <c r="J9" s="5" t="s">
        <v>66</v>
      </c>
      <c r="K9" s="5" t="s">
        <v>4</v>
      </c>
      <c r="L9" s="5" t="s">
        <v>330</v>
      </c>
    </row>
    <row r="10" s="1" customFormat="1" ht="43.2" customHeight="1" spans="1:12">
      <c r="A10" s="5" t="s">
        <v>331</v>
      </c>
      <c r="B10" s="5" t="s">
        <v>24</v>
      </c>
      <c r="C10" s="5" t="s">
        <v>332</v>
      </c>
      <c r="D10" s="5" t="s">
        <v>333</v>
      </c>
      <c r="E10" s="5" t="s">
        <v>334</v>
      </c>
      <c r="F10" s="5" t="s">
        <v>335</v>
      </c>
      <c r="G10" s="5" t="s">
        <v>336</v>
      </c>
      <c r="H10" s="5" t="s">
        <v>90</v>
      </c>
      <c r="I10" s="5" t="s">
        <v>99</v>
      </c>
      <c r="J10" s="5" t="s">
        <v>100</v>
      </c>
      <c r="K10" s="5" t="s">
        <v>4</v>
      </c>
      <c r="L10" s="5" t="s">
        <v>337</v>
      </c>
    </row>
    <row r="11" s="1" customFormat="1" ht="43.2" customHeight="1" spans="1:12">
      <c r="A11" s="5" t="s">
        <v>338</v>
      </c>
      <c r="B11" s="5" t="s">
        <v>24</v>
      </c>
      <c r="C11" s="5" t="s">
        <v>339</v>
      </c>
      <c r="D11" s="5" t="s">
        <v>340</v>
      </c>
      <c r="E11" s="5" t="s">
        <v>341</v>
      </c>
      <c r="F11" s="5" t="s">
        <v>342</v>
      </c>
      <c r="G11" s="5" t="s">
        <v>343</v>
      </c>
      <c r="H11" s="5" t="s">
        <v>64</v>
      </c>
      <c r="I11" s="5" t="s">
        <v>265</v>
      </c>
      <c r="J11" s="5" t="s">
        <v>100</v>
      </c>
      <c r="K11" s="5" t="s">
        <v>4</v>
      </c>
      <c r="L11" s="5" t="s">
        <v>344</v>
      </c>
    </row>
    <row r="12" s="1" customFormat="1" ht="28.8" customHeight="1" spans="1:12">
      <c r="A12" s="5" t="s">
        <v>345</v>
      </c>
      <c r="B12" s="5" t="s">
        <v>24</v>
      </c>
      <c r="C12" s="5" t="s">
        <v>346</v>
      </c>
      <c r="D12" s="5" t="s">
        <v>347</v>
      </c>
      <c r="E12" s="5" t="s">
        <v>348</v>
      </c>
      <c r="F12" s="5" t="s">
        <v>349</v>
      </c>
      <c r="G12" s="5" t="s">
        <v>350</v>
      </c>
      <c r="H12" s="5" t="s">
        <v>90</v>
      </c>
      <c r="I12" s="5" t="s">
        <v>108</v>
      </c>
      <c r="J12" s="5" t="s">
        <v>100</v>
      </c>
      <c r="K12" s="5" t="s">
        <v>4</v>
      </c>
      <c r="L12" s="5" t="s">
        <v>351</v>
      </c>
    </row>
    <row r="13" s="1" customFormat="1" ht="28.8" customHeight="1" spans="1:12">
      <c r="A13" s="5" t="s">
        <v>352</v>
      </c>
      <c r="B13" s="5" t="s">
        <v>24</v>
      </c>
      <c r="C13" s="5" t="s">
        <v>353</v>
      </c>
      <c r="D13" s="5" t="s">
        <v>354</v>
      </c>
      <c r="E13" s="5" t="s">
        <v>355</v>
      </c>
      <c r="F13" s="5" t="s">
        <v>356</v>
      </c>
      <c r="G13" s="5" t="s">
        <v>357</v>
      </c>
      <c r="H13" s="5" t="s">
        <v>64</v>
      </c>
      <c r="I13" s="5" t="s">
        <v>74</v>
      </c>
      <c r="J13" s="5" t="s">
        <v>100</v>
      </c>
      <c r="K13" s="5" t="s">
        <v>4</v>
      </c>
      <c r="L13" s="5" t="s">
        <v>358</v>
      </c>
    </row>
    <row r="14" s="1" customFormat="1"/>
  </sheetData>
  <mergeCells count="2">
    <mergeCell ref="A1:L1"/>
    <mergeCell ref="A2:L2"/>
  </mergeCells>
  <conditionalFormatting sqref="H5:H200">
    <cfRule type="expression" dxfId="0" priority="1">
      <formula>OR(H5="High",H5="Critical")</formula>
    </cfRule>
  </conditionalFormatting>
  <conditionalFormatting sqref="K5:K200">
    <cfRule type="expression" dxfId="1" priority="2">
      <formula>K5="Pass"</formula>
    </cfRule>
    <cfRule type="expression" dxfId="2" priority="3">
      <formula>K5="Fail"</formula>
    </cfRule>
    <cfRule type="expression" dxfId="3" priority="4">
      <formula>K5="Blocked"</formula>
    </cfRule>
  </conditionalFormatting>
  <dataValidations count="4">
    <dataValidation type="list" allowBlank="1" sqref="H5:H200">
      <formula1>"Critical,High,Medium,Low"</formula1>
    </dataValidation>
    <dataValidation type="list" allowBlank="1" sqref="I5:I200">
      <formula1>"Positive,Negative,Boundary,Security,Regression,Integration,Data"</formula1>
    </dataValidation>
    <dataValidation type="list" allowBlank="1" sqref="J5:J200">
      <formula1>"Yes,No,Later"</formula1>
    </dataValidation>
    <dataValidation type="list" allowBlank="1" sqref="K5:K200">
      <formula1>"Not Run,Pass,Fail,Blocked"</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showGridLines="0" workbookViewId="0">
      <selection activeCell="A1" sqref="A1:L1"/>
    </sheetView>
  </sheetViews>
  <sheetFormatPr defaultColWidth="9" defaultRowHeight="14.4"/>
  <cols>
    <col min="1" max="1" width="10.6666666666667" customWidth="1"/>
    <col min="2" max="2" width="8.88888888888889" customWidth="1"/>
    <col min="3" max="3" width="28" customWidth="1"/>
    <col min="4" max="4" width="23.8888888888889" customWidth="1"/>
    <col min="5" max="5" width="40.6666666666667" customWidth="1"/>
    <col min="6" max="6" width="23.1111111111111" customWidth="1"/>
    <col min="7" max="7" width="32.1111111111111" customWidth="1"/>
    <col min="8" max="8" width="8.22222222222222" customWidth="1"/>
    <col min="9" max="9" width="10.4444444444444" customWidth="1"/>
    <col min="10" max="10" width="16" customWidth="1"/>
    <col min="11" max="11" width="11.5" customWidth="1"/>
    <col min="12" max="12" width="26" customWidth="1"/>
  </cols>
  <sheetData>
    <row r="1" customFormat="1" ht="15.6" customHeight="1" spans="1:12">
      <c r="A1" s="2" t="s">
        <v>359</v>
      </c>
    </row>
    <row r="2" spans="1:12">
      <c r="A2" s="3" t="s">
        <v>47</v>
      </c>
    </row>
    <row r="4" customFormat="1" ht="28.8" customHeight="1" spans="1:12">
      <c r="A4" s="4" t="s">
        <v>48</v>
      </c>
      <c r="B4" s="4" t="s">
        <v>12</v>
      </c>
      <c r="C4" s="4" t="s">
        <v>49</v>
      </c>
      <c r="D4" s="4" t="s">
        <v>50</v>
      </c>
      <c r="E4" s="4" t="s">
        <v>51</v>
      </c>
      <c r="F4" s="4" t="s">
        <v>52</v>
      </c>
      <c r="G4" s="4" t="s">
        <v>53</v>
      </c>
      <c r="H4" s="4" t="s">
        <v>54</v>
      </c>
      <c r="I4" s="4" t="s">
        <v>55</v>
      </c>
      <c r="J4" s="4" t="s">
        <v>56</v>
      </c>
      <c r="K4" s="4" t="s">
        <v>36</v>
      </c>
      <c r="L4" s="4" t="s">
        <v>57</v>
      </c>
    </row>
    <row r="5" s="1" customFormat="1" ht="43.2" customHeight="1" spans="1:12">
      <c r="A5" s="5" t="s">
        <v>360</v>
      </c>
      <c r="B5" s="5" t="s">
        <v>26</v>
      </c>
      <c r="C5" s="5" t="s">
        <v>361</v>
      </c>
      <c r="D5" s="5" t="s">
        <v>362</v>
      </c>
      <c r="E5" s="5" t="s">
        <v>363</v>
      </c>
      <c r="F5" s="5" t="s">
        <v>364</v>
      </c>
      <c r="G5" s="5" t="s">
        <v>365</v>
      </c>
      <c r="H5" s="5" t="s">
        <v>64</v>
      </c>
      <c r="I5" s="5" t="s">
        <v>65</v>
      </c>
      <c r="J5" s="5" t="s">
        <v>66</v>
      </c>
      <c r="K5" s="5" t="s">
        <v>4</v>
      </c>
      <c r="L5" s="5" t="s">
        <v>366</v>
      </c>
    </row>
    <row r="6" s="1" customFormat="1" ht="28.8" customHeight="1" spans="1:12">
      <c r="A6" s="5" t="s">
        <v>367</v>
      </c>
      <c r="B6" s="5" t="s">
        <v>26</v>
      </c>
      <c r="C6" s="5" t="s">
        <v>368</v>
      </c>
      <c r="D6" s="5" t="s">
        <v>369</v>
      </c>
      <c r="E6" s="5" t="s">
        <v>370</v>
      </c>
      <c r="F6" s="5" t="s">
        <v>371</v>
      </c>
      <c r="G6" s="5" t="s">
        <v>372</v>
      </c>
      <c r="H6" s="5" t="s">
        <v>82</v>
      </c>
      <c r="I6" s="5" t="s">
        <v>74</v>
      </c>
      <c r="J6" s="5" t="s">
        <v>66</v>
      </c>
      <c r="K6" s="5" t="s">
        <v>4</v>
      </c>
      <c r="L6" s="5" t="s">
        <v>373</v>
      </c>
    </row>
    <row r="7" s="1" customFormat="1" ht="43.2" customHeight="1" spans="1:12">
      <c r="A7" s="5" t="s">
        <v>374</v>
      </c>
      <c r="B7" s="5" t="s">
        <v>26</v>
      </c>
      <c r="C7" s="5" t="s">
        <v>375</v>
      </c>
      <c r="D7" s="5" t="s">
        <v>376</v>
      </c>
      <c r="E7" s="5" t="s">
        <v>377</v>
      </c>
      <c r="F7" s="5" t="s">
        <v>378</v>
      </c>
      <c r="G7" s="5" t="s">
        <v>379</v>
      </c>
      <c r="H7" s="5" t="s">
        <v>64</v>
      </c>
      <c r="I7" s="5" t="s">
        <v>74</v>
      </c>
      <c r="J7" s="5" t="s">
        <v>66</v>
      </c>
      <c r="K7" s="5" t="s">
        <v>4</v>
      </c>
      <c r="L7" s="5" t="s">
        <v>380</v>
      </c>
    </row>
    <row r="8" s="1" customFormat="1" ht="43.2" customHeight="1" spans="1:12">
      <c r="A8" s="5" t="s">
        <v>381</v>
      </c>
      <c r="B8" s="5" t="s">
        <v>26</v>
      </c>
      <c r="C8" s="5" t="s">
        <v>382</v>
      </c>
      <c r="D8" s="5" t="s">
        <v>383</v>
      </c>
      <c r="E8" s="5" t="s">
        <v>384</v>
      </c>
      <c r="F8" s="5" t="s">
        <v>385</v>
      </c>
      <c r="G8" s="5" t="s">
        <v>386</v>
      </c>
      <c r="H8" s="5" t="s">
        <v>90</v>
      </c>
      <c r="I8" s="5" t="s">
        <v>108</v>
      </c>
      <c r="J8" s="5" t="s">
        <v>100</v>
      </c>
      <c r="K8" s="5" t="s">
        <v>4</v>
      </c>
      <c r="L8" s="5" t="s">
        <v>387</v>
      </c>
    </row>
    <row r="9" s="1" customFormat="1" ht="43.2" customHeight="1" spans="1:12">
      <c r="A9" s="5" t="s">
        <v>388</v>
      </c>
      <c r="B9" s="5" t="s">
        <v>26</v>
      </c>
      <c r="C9" s="5" t="s">
        <v>389</v>
      </c>
      <c r="D9" s="5" t="s">
        <v>390</v>
      </c>
      <c r="E9" s="5" t="s">
        <v>391</v>
      </c>
      <c r="F9" s="5" t="s">
        <v>392</v>
      </c>
      <c r="G9" s="5" t="s">
        <v>393</v>
      </c>
      <c r="H9" s="5" t="s">
        <v>90</v>
      </c>
      <c r="I9" s="5" t="s">
        <v>65</v>
      </c>
      <c r="J9" s="5" t="s">
        <v>66</v>
      </c>
      <c r="K9" s="5" t="s">
        <v>4</v>
      </c>
      <c r="L9" s="5" t="s">
        <v>394</v>
      </c>
    </row>
    <row r="10" s="1" customFormat="1" ht="43.2" customHeight="1" spans="1:12">
      <c r="A10" s="5" t="s">
        <v>395</v>
      </c>
      <c r="B10" s="5" t="s">
        <v>26</v>
      </c>
      <c r="C10" s="5" t="s">
        <v>396</v>
      </c>
      <c r="D10" s="5" t="s">
        <v>397</v>
      </c>
      <c r="E10" s="5" t="s">
        <v>398</v>
      </c>
      <c r="F10" s="5" t="s">
        <v>399</v>
      </c>
      <c r="G10" s="5" t="s">
        <v>400</v>
      </c>
      <c r="H10" s="5" t="s">
        <v>90</v>
      </c>
      <c r="I10" s="5" t="s">
        <v>265</v>
      </c>
      <c r="J10" s="5" t="s">
        <v>66</v>
      </c>
      <c r="K10" s="5" t="s">
        <v>4</v>
      </c>
      <c r="L10" s="5" t="s">
        <v>401</v>
      </c>
    </row>
    <row r="11" s="1" customFormat="1" ht="28.8" customHeight="1" spans="1:12">
      <c r="A11" s="5" t="s">
        <v>402</v>
      </c>
      <c r="B11" s="5" t="s">
        <v>26</v>
      </c>
      <c r="C11" s="5" t="s">
        <v>403</v>
      </c>
      <c r="D11" s="5" t="s">
        <v>404</v>
      </c>
      <c r="E11" s="5" t="s">
        <v>405</v>
      </c>
      <c r="F11" s="5" t="s">
        <v>406</v>
      </c>
      <c r="G11" s="5" t="s">
        <v>407</v>
      </c>
      <c r="H11" s="5" t="s">
        <v>64</v>
      </c>
      <c r="I11" s="5" t="s">
        <v>74</v>
      </c>
      <c r="J11" s="5" t="s">
        <v>100</v>
      </c>
      <c r="K11" s="5" t="s">
        <v>4</v>
      </c>
      <c r="L11" s="5" t="s">
        <v>408</v>
      </c>
    </row>
    <row r="12" s="1" customFormat="1" ht="43.2" customHeight="1" spans="1:12">
      <c r="A12" s="5" t="s">
        <v>409</v>
      </c>
      <c r="B12" s="5" t="s">
        <v>26</v>
      </c>
      <c r="C12" s="5" t="s">
        <v>410</v>
      </c>
      <c r="D12" s="5" t="s">
        <v>411</v>
      </c>
      <c r="E12" s="5" t="s">
        <v>412</v>
      </c>
      <c r="F12" s="5" t="s">
        <v>413</v>
      </c>
      <c r="G12" s="5" t="s">
        <v>414</v>
      </c>
      <c r="H12" s="5" t="s">
        <v>90</v>
      </c>
      <c r="I12" s="5" t="s">
        <v>91</v>
      </c>
      <c r="J12" s="5" t="s">
        <v>100</v>
      </c>
      <c r="K12" s="5" t="s">
        <v>4</v>
      </c>
      <c r="L12" s="5" t="s">
        <v>415</v>
      </c>
    </row>
    <row r="13" s="1" customFormat="1" ht="43.2" customHeight="1" spans="1:12">
      <c r="A13" s="5" t="s">
        <v>416</v>
      </c>
      <c r="B13" s="5" t="s">
        <v>26</v>
      </c>
      <c r="C13" s="5" t="s">
        <v>417</v>
      </c>
      <c r="D13" s="5" t="s">
        <v>418</v>
      </c>
      <c r="E13" s="5" t="s">
        <v>419</v>
      </c>
      <c r="F13" s="5" t="s">
        <v>420</v>
      </c>
      <c r="G13" s="5" t="s">
        <v>421</v>
      </c>
      <c r="H13" s="5" t="s">
        <v>64</v>
      </c>
      <c r="I13" s="5" t="s">
        <v>99</v>
      </c>
      <c r="J13" s="5" t="s">
        <v>100</v>
      </c>
      <c r="K13" s="5" t="s">
        <v>4</v>
      </c>
      <c r="L13" s="5" t="s">
        <v>422</v>
      </c>
    </row>
    <row r="14" s="1" customFormat="1" ht="43.2" customHeight="1" spans="1:12">
      <c r="A14" s="5" t="s">
        <v>423</v>
      </c>
      <c r="B14" s="5" t="s">
        <v>26</v>
      </c>
      <c r="C14" s="5" t="s">
        <v>424</v>
      </c>
      <c r="D14" s="5" t="s">
        <v>425</v>
      </c>
      <c r="E14" s="5" t="s">
        <v>426</v>
      </c>
      <c r="F14" s="5" t="s">
        <v>427</v>
      </c>
      <c r="G14" s="5" t="s">
        <v>428</v>
      </c>
      <c r="H14" s="5" t="s">
        <v>64</v>
      </c>
      <c r="I14" s="5" t="s">
        <v>108</v>
      </c>
      <c r="J14" s="5" t="s">
        <v>100</v>
      </c>
      <c r="K14" s="5" t="s">
        <v>4</v>
      </c>
      <c r="L14" s="5" t="s">
        <v>429</v>
      </c>
    </row>
    <row r="15" s="1" customFormat="1" spans="1:12">
      <c r="A15" s="5"/>
      <c r="B15" s="5"/>
      <c r="C15" s="5"/>
      <c r="D15" s="5"/>
      <c r="E15" s="5"/>
      <c r="F15" s="5"/>
      <c r="G15" s="5"/>
      <c r="H15" s="5"/>
      <c r="I15" s="5"/>
      <c r="J15" s="5"/>
      <c r="K15" s="5"/>
      <c r="L15" s="5"/>
    </row>
    <row r="16" s="1" customFormat="1" spans="1:12">
      <c r="A16" s="5"/>
      <c r="B16" s="5"/>
      <c r="C16" s="5"/>
      <c r="D16" s="5"/>
      <c r="E16" s="5"/>
      <c r="F16" s="5"/>
      <c r="G16" s="5"/>
      <c r="H16" s="5"/>
      <c r="I16" s="5"/>
      <c r="J16" s="5"/>
      <c r="K16" s="5"/>
      <c r="L16" s="5"/>
    </row>
    <row r="17" s="1" customFormat="1" spans="1:12">
      <c r="A17" s="5"/>
      <c r="B17" s="5"/>
      <c r="C17" s="5"/>
      <c r="D17" s="5"/>
      <c r="E17" s="5"/>
      <c r="F17" s="5"/>
      <c r="G17" s="5"/>
      <c r="H17" s="5"/>
      <c r="I17" s="5"/>
      <c r="J17" s="5"/>
      <c r="K17" s="5"/>
      <c r="L17" s="5"/>
    </row>
    <row r="18" s="1" customFormat="1" spans="1:12">
      <c r="A18" s="5"/>
      <c r="B18" s="5"/>
      <c r="C18" s="5"/>
      <c r="D18" s="5"/>
      <c r="E18" s="5"/>
      <c r="F18" s="5"/>
      <c r="G18" s="5"/>
      <c r="H18" s="5"/>
      <c r="I18" s="5"/>
      <c r="J18" s="5"/>
      <c r="K18" s="5"/>
      <c r="L18" s="5"/>
    </row>
    <row r="19" spans="1:12">
      <c r="A19" s="6"/>
      <c r="B19" s="6"/>
      <c r="C19" s="6"/>
      <c r="D19" s="6"/>
      <c r="E19" s="6"/>
      <c r="F19" s="6"/>
      <c r="G19" s="6"/>
      <c r="H19" s="6"/>
      <c r="I19" s="6"/>
      <c r="J19" s="6"/>
      <c r="K19" s="6"/>
      <c r="L19" s="3"/>
    </row>
  </sheetData>
  <mergeCells count="2">
    <mergeCell ref="A1:L1"/>
    <mergeCell ref="A2:L2"/>
  </mergeCells>
  <conditionalFormatting sqref="H5:H200">
    <cfRule type="expression" dxfId="0" priority="1">
      <formula>OR(H5="High",H5="Critical")</formula>
    </cfRule>
  </conditionalFormatting>
  <conditionalFormatting sqref="K5:K200">
    <cfRule type="expression" dxfId="1" priority="2">
      <formula>K5="Pass"</formula>
    </cfRule>
    <cfRule type="expression" dxfId="2" priority="3">
      <formula>K5="Fail"</formula>
    </cfRule>
    <cfRule type="expression" dxfId="3" priority="4">
      <formula>K5="Blocked"</formula>
    </cfRule>
  </conditionalFormatting>
  <dataValidations count="4">
    <dataValidation type="list" allowBlank="1" sqref="H5:H200">
      <formula1>"Critical,High,Medium,Low"</formula1>
    </dataValidation>
    <dataValidation type="list" allowBlank="1" sqref="I5:I200">
      <formula1>"Positive,Negative,Boundary,Security,Regression,Integration,Data"</formula1>
    </dataValidation>
    <dataValidation type="list" allowBlank="1" sqref="J5:J200">
      <formula1>"Yes,No,Later"</formula1>
    </dataValidation>
    <dataValidation type="list" allowBlank="1" sqref="K5:K200">
      <formula1>"Not Run,Pass,Fail,Blocked"</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5"/>
  <sheetViews>
    <sheetView workbookViewId="0">
      <selection activeCell="A1" sqref="A1:L1"/>
    </sheetView>
  </sheetViews>
  <sheetFormatPr defaultColWidth="9" defaultRowHeight="14.4"/>
  <cols>
    <col min="1" max="1" width="10.4444444444444" customWidth="1"/>
    <col min="2" max="2" width="20.5555555555556" customWidth="1"/>
    <col min="3" max="3" width="62.6666666666667" customWidth="1"/>
    <col min="4" max="4" width="51.7777777777778" customWidth="1"/>
    <col min="5" max="5" width="67.1111111111111" customWidth="1"/>
    <col min="6" max="6" width="34.8888888888889" customWidth="1"/>
    <col min="7" max="7" width="52.3333333333333" customWidth="1"/>
    <col min="8" max="8" width="8.22222222222222" customWidth="1"/>
    <col min="9" max="9" width="11.1111111111111" customWidth="1"/>
    <col min="10" max="10" width="20.7777777777778" customWidth="1"/>
    <col min="11" max="11" width="11.5" customWidth="1"/>
    <col min="12" max="12" width="26" customWidth="1"/>
  </cols>
  <sheetData>
    <row r="1" customFormat="1" ht="15.6" customHeight="1" spans="1:12">
      <c r="A1" s="2" t="s">
        <v>430</v>
      </c>
    </row>
    <row r="2" spans="1:12">
      <c r="A2" s="3" t="s">
        <v>47</v>
      </c>
    </row>
    <row r="4" spans="1:12">
      <c r="A4" s="4" t="s">
        <v>48</v>
      </c>
      <c r="B4" s="4" t="s">
        <v>12</v>
      </c>
      <c r="C4" s="4" t="s">
        <v>49</v>
      </c>
      <c r="D4" s="4" t="s">
        <v>50</v>
      </c>
      <c r="E4" s="4" t="s">
        <v>51</v>
      </c>
      <c r="F4" s="4" t="s">
        <v>52</v>
      </c>
      <c r="G4" s="4" t="s">
        <v>53</v>
      </c>
      <c r="H4" s="4" t="s">
        <v>54</v>
      </c>
      <c r="I4" s="4" t="s">
        <v>55</v>
      </c>
      <c r="J4" s="4" t="s">
        <v>56</v>
      </c>
      <c r="K4" s="4" t="s">
        <v>36</v>
      </c>
      <c r="L4" s="4" t="s">
        <v>57</v>
      </c>
    </row>
    <row r="5" s="1" customFormat="1" ht="43.2" customHeight="1" spans="1:12">
      <c r="A5" s="5" t="s">
        <v>431</v>
      </c>
      <c r="B5" s="5" t="s">
        <v>28</v>
      </c>
      <c r="C5" s="5" t="s">
        <v>432</v>
      </c>
      <c r="D5" s="5" t="s">
        <v>433</v>
      </c>
      <c r="E5" s="5" t="s">
        <v>434</v>
      </c>
      <c r="F5" s="5" t="s">
        <v>435</v>
      </c>
      <c r="G5" s="5" t="s">
        <v>436</v>
      </c>
      <c r="H5" s="5" t="s">
        <v>64</v>
      </c>
      <c r="I5" s="5" t="s">
        <v>99</v>
      </c>
      <c r="J5" s="5" t="s">
        <v>66</v>
      </c>
      <c r="K5" s="5" t="s">
        <v>4</v>
      </c>
      <c r="L5" s="5" t="s">
        <v>437</v>
      </c>
    </row>
    <row r="6" s="1" customFormat="1" ht="43.2" customHeight="1" spans="1:12">
      <c r="A6" s="5" t="s">
        <v>438</v>
      </c>
      <c r="B6" s="5" t="s">
        <v>28</v>
      </c>
      <c r="C6" s="5" t="s">
        <v>439</v>
      </c>
      <c r="D6" s="5" t="s">
        <v>440</v>
      </c>
      <c r="E6" s="5" t="s">
        <v>441</v>
      </c>
      <c r="F6" s="5" t="s">
        <v>442</v>
      </c>
      <c r="G6" s="5" t="s">
        <v>443</v>
      </c>
      <c r="H6" s="5" t="s">
        <v>90</v>
      </c>
      <c r="I6" s="5" t="s">
        <v>65</v>
      </c>
      <c r="J6" s="5" t="s">
        <v>66</v>
      </c>
      <c r="K6" s="5" t="s">
        <v>4</v>
      </c>
      <c r="L6" s="5" t="s">
        <v>444</v>
      </c>
    </row>
    <row r="7" s="1" customFormat="1" ht="43.2" customHeight="1" spans="1:12">
      <c r="A7" s="5" t="s">
        <v>445</v>
      </c>
      <c r="B7" s="5" t="s">
        <v>28</v>
      </c>
      <c r="C7" s="5" t="s">
        <v>446</v>
      </c>
      <c r="D7" s="5" t="s">
        <v>447</v>
      </c>
      <c r="E7" s="5" t="s">
        <v>448</v>
      </c>
      <c r="F7" s="5" t="s">
        <v>449</v>
      </c>
      <c r="G7" s="5" t="s">
        <v>450</v>
      </c>
      <c r="H7" s="5" t="s">
        <v>90</v>
      </c>
      <c r="I7" s="5" t="s">
        <v>108</v>
      </c>
      <c r="J7" s="5" t="s">
        <v>66</v>
      </c>
      <c r="K7" s="5" t="s">
        <v>4</v>
      </c>
      <c r="L7" s="5" t="s">
        <v>451</v>
      </c>
    </row>
    <row r="8" s="1" customFormat="1" ht="43.2" customHeight="1" spans="1:12">
      <c r="A8" s="5" t="s">
        <v>452</v>
      </c>
      <c r="B8" s="5" t="s">
        <v>28</v>
      </c>
      <c r="C8" s="5" t="s">
        <v>453</v>
      </c>
      <c r="D8" s="5" t="s">
        <v>454</v>
      </c>
      <c r="E8" s="5" t="s">
        <v>455</v>
      </c>
      <c r="F8" s="5" t="s">
        <v>456</v>
      </c>
      <c r="G8" s="5" t="s">
        <v>457</v>
      </c>
      <c r="H8" s="5" t="s">
        <v>64</v>
      </c>
      <c r="I8" s="5" t="s">
        <v>74</v>
      </c>
      <c r="J8" s="5" t="s">
        <v>100</v>
      </c>
      <c r="K8" s="5" t="s">
        <v>4</v>
      </c>
      <c r="L8" s="5" t="s">
        <v>458</v>
      </c>
    </row>
    <row r="9" s="1" customFormat="1" ht="43.2" customHeight="1" spans="1:12">
      <c r="A9" s="5" t="s">
        <v>459</v>
      </c>
      <c r="B9" s="5" t="s">
        <v>28</v>
      </c>
      <c r="C9" s="5" t="s">
        <v>460</v>
      </c>
      <c r="D9" s="5" t="s">
        <v>461</v>
      </c>
      <c r="E9" s="5" t="s">
        <v>462</v>
      </c>
      <c r="F9" s="5" t="s">
        <v>463</v>
      </c>
      <c r="G9" s="5" t="s">
        <v>464</v>
      </c>
      <c r="H9" s="5" t="s">
        <v>90</v>
      </c>
      <c r="I9" s="5" t="s">
        <v>65</v>
      </c>
      <c r="J9" s="5" t="s">
        <v>66</v>
      </c>
      <c r="K9" s="5" t="s">
        <v>4</v>
      </c>
      <c r="L9" s="5" t="s">
        <v>465</v>
      </c>
    </row>
    <row r="10" s="1" customFormat="1" ht="43.2" customHeight="1" spans="1:12">
      <c r="A10" s="5" t="s">
        <v>466</v>
      </c>
      <c r="B10" s="5" t="s">
        <v>28</v>
      </c>
      <c r="C10" s="5" t="s">
        <v>467</v>
      </c>
      <c r="D10" s="5" t="s">
        <v>269</v>
      </c>
      <c r="E10" s="5" t="s">
        <v>468</v>
      </c>
      <c r="F10" s="5" t="s">
        <v>469</v>
      </c>
      <c r="G10" s="5" t="s">
        <v>470</v>
      </c>
      <c r="H10" s="5" t="s">
        <v>90</v>
      </c>
      <c r="I10" s="5" t="s">
        <v>265</v>
      </c>
      <c r="J10" s="5" t="s">
        <v>100</v>
      </c>
      <c r="K10" s="5" t="s">
        <v>4</v>
      </c>
      <c r="L10" s="5" t="s">
        <v>471</v>
      </c>
    </row>
    <row r="11" s="1" customFormat="1" ht="43.2" customHeight="1" spans="1:12">
      <c r="A11" s="5" t="s">
        <v>472</v>
      </c>
      <c r="B11" s="5" t="s">
        <v>28</v>
      </c>
      <c r="C11" s="5" t="s">
        <v>473</v>
      </c>
      <c r="D11" s="5" t="s">
        <v>474</v>
      </c>
      <c r="E11" s="5" t="s">
        <v>475</v>
      </c>
      <c r="F11" s="5" t="s">
        <v>476</v>
      </c>
      <c r="G11" s="5" t="s">
        <v>477</v>
      </c>
      <c r="H11" s="5" t="s">
        <v>90</v>
      </c>
      <c r="I11" s="5" t="s">
        <v>108</v>
      </c>
      <c r="J11" s="5" t="s">
        <v>100</v>
      </c>
      <c r="K11" s="5" t="s">
        <v>4</v>
      </c>
      <c r="L11" s="5" t="s">
        <v>478</v>
      </c>
    </row>
    <row r="12" s="1" customFormat="1" ht="43.2" customHeight="1" spans="1:12">
      <c r="A12" s="5" t="s">
        <v>479</v>
      </c>
      <c r="B12" s="5" t="s">
        <v>28</v>
      </c>
      <c r="C12" s="5" t="s">
        <v>480</v>
      </c>
      <c r="D12" s="5" t="s">
        <v>481</v>
      </c>
      <c r="E12" s="5" t="s">
        <v>482</v>
      </c>
      <c r="F12" s="5" t="s">
        <v>483</v>
      </c>
      <c r="G12" s="5" t="s">
        <v>484</v>
      </c>
      <c r="H12" s="5" t="s">
        <v>90</v>
      </c>
      <c r="I12" s="5" t="s">
        <v>99</v>
      </c>
      <c r="J12" s="5" t="s">
        <v>66</v>
      </c>
      <c r="K12" s="5" t="s">
        <v>4</v>
      </c>
      <c r="L12" s="5" t="s">
        <v>485</v>
      </c>
    </row>
    <row r="13" s="1" customFormat="1" ht="43.2" customHeight="1" spans="1:12">
      <c r="A13" s="5" t="s">
        <v>486</v>
      </c>
      <c r="B13" s="5" t="s">
        <v>28</v>
      </c>
      <c r="C13" s="5" t="s">
        <v>487</v>
      </c>
      <c r="D13" s="5" t="s">
        <v>488</v>
      </c>
      <c r="E13" s="5" t="s">
        <v>489</v>
      </c>
      <c r="F13" s="5" t="s">
        <v>490</v>
      </c>
      <c r="G13" s="5" t="s">
        <v>491</v>
      </c>
      <c r="H13" s="5" t="s">
        <v>90</v>
      </c>
      <c r="I13" s="5" t="s">
        <v>74</v>
      </c>
      <c r="J13" s="5" t="s">
        <v>66</v>
      </c>
      <c r="K13" s="5" t="s">
        <v>4</v>
      </c>
      <c r="L13" s="5" t="s">
        <v>492</v>
      </c>
    </row>
    <row r="14" s="1" customFormat="1" ht="43.2" customHeight="1" spans="1:12">
      <c r="A14" s="5" t="s">
        <v>493</v>
      </c>
      <c r="B14" s="5" t="s">
        <v>28</v>
      </c>
      <c r="C14" s="5" t="s">
        <v>494</v>
      </c>
      <c r="D14" s="5" t="s">
        <v>495</v>
      </c>
      <c r="E14" s="5" t="s">
        <v>496</v>
      </c>
      <c r="F14" s="5" t="s">
        <v>497</v>
      </c>
      <c r="G14" s="5" t="s">
        <v>498</v>
      </c>
      <c r="H14" s="5" t="s">
        <v>90</v>
      </c>
      <c r="I14" s="5" t="s">
        <v>108</v>
      </c>
      <c r="J14" s="5" t="s">
        <v>100</v>
      </c>
      <c r="K14" s="5" t="s">
        <v>4</v>
      </c>
      <c r="L14" s="5" t="s">
        <v>499</v>
      </c>
    </row>
    <row r="15" s="1" customFormat="1" ht="43.2" customHeight="1" spans="1:12">
      <c r="A15" s="5" t="s">
        <v>500</v>
      </c>
      <c r="B15" s="5" t="s">
        <v>28</v>
      </c>
      <c r="C15" s="5" t="s">
        <v>501</v>
      </c>
      <c r="D15" s="5" t="s">
        <v>502</v>
      </c>
      <c r="E15" s="5" t="s">
        <v>503</v>
      </c>
      <c r="F15" s="5" t="s">
        <v>504</v>
      </c>
      <c r="G15" s="5" t="s">
        <v>505</v>
      </c>
      <c r="H15" s="5" t="s">
        <v>90</v>
      </c>
      <c r="I15" s="5" t="s">
        <v>65</v>
      </c>
      <c r="J15" s="5" t="s">
        <v>66</v>
      </c>
      <c r="K15" s="5" t="s">
        <v>4</v>
      </c>
      <c r="L15" s="5" t="s">
        <v>506</v>
      </c>
    </row>
    <row r="16" s="1" customFormat="1" ht="43.2" customHeight="1" spans="1:12">
      <c r="A16" s="5" t="s">
        <v>507</v>
      </c>
      <c r="B16" s="5" t="s">
        <v>28</v>
      </c>
      <c r="C16" s="5" t="s">
        <v>508</v>
      </c>
      <c r="D16" s="5" t="s">
        <v>509</v>
      </c>
      <c r="E16" s="5" t="s">
        <v>510</v>
      </c>
      <c r="F16" s="5" t="s">
        <v>511</v>
      </c>
      <c r="G16" s="5" t="s">
        <v>512</v>
      </c>
      <c r="H16" s="5" t="s">
        <v>90</v>
      </c>
      <c r="I16" s="5" t="s">
        <v>74</v>
      </c>
      <c r="J16" s="5" t="s">
        <v>66</v>
      </c>
      <c r="K16" s="5" t="s">
        <v>4</v>
      </c>
      <c r="L16" s="5" t="s">
        <v>513</v>
      </c>
    </row>
    <row r="17" s="1" customFormat="1" ht="43.2" customHeight="1" spans="1:12">
      <c r="A17" s="5" t="s">
        <v>514</v>
      </c>
      <c r="B17" s="5" t="s">
        <v>28</v>
      </c>
      <c r="C17" s="5" t="s">
        <v>515</v>
      </c>
      <c r="D17" s="5" t="s">
        <v>516</v>
      </c>
      <c r="E17" s="5" t="s">
        <v>517</v>
      </c>
      <c r="F17" s="5" t="s">
        <v>518</v>
      </c>
      <c r="G17" s="5" t="s">
        <v>519</v>
      </c>
      <c r="H17" s="5" t="s">
        <v>90</v>
      </c>
      <c r="I17" s="5" t="s">
        <v>99</v>
      </c>
      <c r="J17" s="5" t="s">
        <v>100</v>
      </c>
      <c r="K17" s="5" t="s">
        <v>4</v>
      </c>
      <c r="L17" s="5" t="s">
        <v>520</v>
      </c>
    </row>
    <row r="18" s="1" customFormat="1" ht="43.2" customHeight="1" spans="1:12">
      <c r="A18" s="5" t="s">
        <v>521</v>
      </c>
      <c r="B18" s="5" t="s">
        <v>28</v>
      </c>
      <c r="C18" s="5" t="s">
        <v>522</v>
      </c>
      <c r="D18" s="5" t="s">
        <v>523</v>
      </c>
      <c r="E18" s="5" t="s">
        <v>524</v>
      </c>
      <c r="F18" s="5" t="s">
        <v>525</v>
      </c>
      <c r="G18" s="5" t="s">
        <v>526</v>
      </c>
      <c r="H18" s="5" t="s">
        <v>64</v>
      </c>
      <c r="I18" s="5" t="s">
        <v>108</v>
      </c>
      <c r="J18" s="5" t="s">
        <v>100</v>
      </c>
      <c r="K18" s="5" t="s">
        <v>4</v>
      </c>
      <c r="L18" s="5" t="s">
        <v>527</v>
      </c>
    </row>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sheetData>
  <mergeCells count="2">
    <mergeCell ref="A1:L1"/>
    <mergeCell ref="A2:L2"/>
  </mergeCells>
  <conditionalFormatting sqref="H5:H200">
    <cfRule type="expression" dxfId="0" priority="1">
      <formula>OR(H5="High",H5="Critical")</formula>
    </cfRule>
  </conditionalFormatting>
  <conditionalFormatting sqref="K5:K200">
    <cfRule type="expression" dxfId="1" priority="2">
      <formula>K5="Pass"</formula>
    </cfRule>
    <cfRule type="expression" dxfId="2" priority="3">
      <formula>K5="Fail"</formula>
    </cfRule>
    <cfRule type="expression" dxfId="3" priority="4">
      <formula>K5="Blocked"</formula>
    </cfRule>
  </conditionalFormatting>
  <dataValidations count="4">
    <dataValidation type="list" allowBlank="1" sqref="H5:H200">
      <formula1>"Critical,High,Medium,Low"</formula1>
    </dataValidation>
    <dataValidation type="list" allowBlank="1" sqref="I5:I200">
      <formula1>"Positive,Negative,Boundary,Security,Regression,Integration,Data"</formula1>
    </dataValidation>
    <dataValidation type="list" allowBlank="1" sqref="J5:J200">
      <formula1>"Yes,No,Later"</formula1>
    </dataValidation>
    <dataValidation type="list" allowBlank="1" sqref="K5:K200">
      <formula1>"Not Run,Pass,Fail,Blocked"</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0"/>
  <sheetViews>
    <sheetView showGridLines="0" workbookViewId="0">
      <selection activeCell="A1" sqref="A1:L1"/>
    </sheetView>
  </sheetViews>
  <sheetFormatPr defaultColWidth="9" defaultRowHeight="14.4"/>
  <cols>
    <col min="1" max="1" width="10.4444444444444" customWidth="1"/>
    <col min="2" max="2" width="10.5555555555556" customWidth="1"/>
    <col min="3" max="3" width="28" customWidth="1"/>
    <col min="4" max="4" width="23.8888888888889" customWidth="1"/>
    <col min="5" max="5" width="32.2222222222222" customWidth="1"/>
    <col min="6" max="6" width="23.7777777777778" customWidth="1"/>
    <col min="7" max="7" width="31.7777777777778" customWidth="1"/>
    <col min="8" max="8" width="7.33333333333333" customWidth="1"/>
    <col min="9" max="9" width="10.4444444444444" customWidth="1"/>
    <col min="10" max="10" width="20.7777777777778" customWidth="1"/>
    <col min="11" max="11" width="11.5" customWidth="1"/>
    <col min="12" max="12" width="26" customWidth="1"/>
  </cols>
  <sheetData>
    <row r="1" customFormat="1" ht="15.6" customHeight="1" spans="1:12">
      <c r="A1" s="2" t="s">
        <v>528</v>
      </c>
    </row>
    <row r="2" spans="1:12">
      <c r="A2" s="3" t="s">
        <v>47</v>
      </c>
    </row>
    <row r="4" spans="1:12">
      <c r="A4" s="4" t="s">
        <v>48</v>
      </c>
      <c r="B4" s="4" t="s">
        <v>12</v>
      </c>
      <c r="C4" s="4" t="s">
        <v>49</v>
      </c>
      <c r="D4" s="4" t="s">
        <v>50</v>
      </c>
      <c r="E4" s="4" t="s">
        <v>51</v>
      </c>
      <c r="F4" s="4" t="s">
        <v>52</v>
      </c>
      <c r="G4" s="4" t="s">
        <v>53</v>
      </c>
      <c r="H4" s="4" t="s">
        <v>54</v>
      </c>
      <c r="I4" s="4" t="s">
        <v>55</v>
      </c>
      <c r="J4" s="4" t="s">
        <v>56</v>
      </c>
      <c r="K4" s="4" t="s">
        <v>36</v>
      </c>
      <c r="L4" s="4" t="s">
        <v>57</v>
      </c>
    </row>
    <row r="5" s="1" customFormat="1" ht="28.8" customHeight="1" spans="1:12">
      <c r="A5" s="5" t="s">
        <v>529</v>
      </c>
      <c r="B5" s="5" t="s">
        <v>30</v>
      </c>
      <c r="C5" s="5" t="s">
        <v>530</v>
      </c>
      <c r="D5" s="5" t="s">
        <v>531</v>
      </c>
      <c r="E5" s="5" t="s">
        <v>532</v>
      </c>
      <c r="F5" s="5" t="s">
        <v>533</v>
      </c>
      <c r="G5" s="5" t="s">
        <v>534</v>
      </c>
      <c r="H5" s="5" t="s">
        <v>64</v>
      </c>
      <c r="I5" s="5" t="s">
        <v>108</v>
      </c>
      <c r="J5" s="5" t="s">
        <v>66</v>
      </c>
      <c r="K5" s="5" t="s">
        <v>4</v>
      </c>
      <c r="L5" s="5" t="s">
        <v>535</v>
      </c>
    </row>
    <row r="6" s="1" customFormat="1" ht="43.2" customHeight="1" spans="1:12">
      <c r="A6" s="5" t="s">
        <v>536</v>
      </c>
      <c r="B6" s="5" t="s">
        <v>30</v>
      </c>
      <c r="C6" s="5" t="s">
        <v>537</v>
      </c>
      <c r="D6" s="5" t="s">
        <v>538</v>
      </c>
      <c r="E6" s="5" t="s">
        <v>539</v>
      </c>
      <c r="F6" s="5" t="s">
        <v>540</v>
      </c>
      <c r="G6" s="5" t="s">
        <v>541</v>
      </c>
      <c r="H6" s="5" t="s">
        <v>90</v>
      </c>
      <c r="I6" s="5" t="s">
        <v>108</v>
      </c>
      <c r="J6" s="5" t="s">
        <v>66</v>
      </c>
      <c r="K6" s="5" t="s">
        <v>4</v>
      </c>
      <c r="L6" s="5" t="s">
        <v>542</v>
      </c>
    </row>
    <row r="7" s="1" customFormat="1" ht="43.2" customHeight="1" spans="1:12">
      <c r="A7" s="5" t="s">
        <v>543</v>
      </c>
      <c r="B7" s="5" t="s">
        <v>30</v>
      </c>
      <c r="C7" s="5" t="s">
        <v>544</v>
      </c>
      <c r="D7" s="5" t="s">
        <v>545</v>
      </c>
      <c r="E7" s="5" t="s">
        <v>546</v>
      </c>
      <c r="F7" s="5" t="s">
        <v>547</v>
      </c>
      <c r="G7" s="5" t="s">
        <v>548</v>
      </c>
      <c r="H7" s="5" t="s">
        <v>90</v>
      </c>
      <c r="I7" s="5" t="s">
        <v>549</v>
      </c>
      <c r="J7" s="5" t="s">
        <v>100</v>
      </c>
      <c r="K7" s="5" t="s">
        <v>4</v>
      </c>
      <c r="L7" s="5" t="s">
        <v>550</v>
      </c>
    </row>
    <row r="8" s="1" customFormat="1" ht="43.2" customHeight="1" spans="1:12">
      <c r="A8" s="5" t="s">
        <v>551</v>
      </c>
      <c r="B8" s="5" t="s">
        <v>30</v>
      </c>
      <c r="C8" s="5" t="s">
        <v>552</v>
      </c>
      <c r="D8" s="5" t="s">
        <v>553</v>
      </c>
      <c r="E8" s="5" t="s">
        <v>554</v>
      </c>
      <c r="F8" s="5" t="s">
        <v>555</v>
      </c>
      <c r="G8" s="5" t="s">
        <v>556</v>
      </c>
      <c r="H8" s="5" t="s">
        <v>90</v>
      </c>
      <c r="I8" s="5" t="s">
        <v>108</v>
      </c>
      <c r="J8" s="5" t="s">
        <v>100</v>
      </c>
      <c r="K8" s="5" t="s">
        <v>4</v>
      </c>
      <c r="L8" s="5" t="s">
        <v>557</v>
      </c>
    </row>
    <row r="9" s="1" customFormat="1" ht="43.2" customHeight="1" spans="1:12">
      <c r="A9" s="5" t="s">
        <v>558</v>
      </c>
      <c r="B9" s="5" t="s">
        <v>30</v>
      </c>
      <c r="C9" s="5" t="s">
        <v>559</v>
      </c>
      <c r="D9" s="5" t="s">
        <v>560</v>
      </c>
      <c r="E9" s="5" t="s">
        <v>561</v>
      </c>
      <c r="F9" s="5" t="s">
        <v>562</v>
      </c>
      <c r="G9" s="5" t="s">
        <v>563</v>
      </c>
      <c r="H9" s="5" t="s">
        <v>64</v>
      </c>
      <c r="I9" s="5" t="s">
        <v>108</v>
      </c>
      <c r="J9" s="5" t="s">
        <v>100</v>
      </c>
      <c r="K9" s="5" t="s">
        <v>4</v>
      </c>
      <c r="L9" s="5" t="s">
        <v>564</v>
      </c>
    </row>
    <row r="10" s="1" customFormat="1" ht="43.2" customHeight="1" spans="1:12">
      <c r="A10" s="5" t="s">
        <v>565</v>
      </c>
      <c r="B10" s="5" t="s">
        <v>30</v>
      </c>
      <c r="C10" s="5" t="s">
        <v>566</v>
      </c>
      <c r="D10" s="5" t="s">
        <v>567</v>
      </c>
      <c r="E10" s="5" t="s">
        <v>568</v>
      </c>
      <c r="F10" s="5" t="s">
        <v>569</v>
      </c>
      <c r="G10" s="5" t="s">
        <v>570</v>
      </c>
      <c r="H10" s="5" t="s">
        <v>82</v>
      </c>
      <c r="I10" s="5" t="s">
        <v>108</v>
      </c>
      <c r="J10" s="5" t="s">
        <v>100</v>
      </c>
      <c r="K10" s="5" t="s">
        <v>4</v>
      </c>
      <c r="L10" s="5" t="s">
        <v>571</v>
      </c>
    </row>
    <row r="11" s="1" customFormat="1" ht="28.8" customHeight="1" spans="1:12">
      <c r="A11" s="5" t="s">
        <v>572</v>
      </c>
      <c r="B11" s="5" t="s">
        <v>30</v>
      </c>
      <c r="C11" s="5" t="s">
        <v>573</v>
      </c>
      <c r="D11" s="5" t="s">
        <v>574</v>
      </c>
      <c r="E11" s="5" t="s">
        <v>575</v>
      </c>
      <c r="F11" s="5" t="s">
        <v>576</v>
      </c>
      <c r="G11" s="5" t="s">
        <v>577</v>
      </c>
      <c r="H11" s="5" t="s">
        <v>90</v>
      </c>
      <c r="I11" s="5" t="s">
        <v>91</v>
      </c>
      <c r="J11" s="5" t="s">
        <v>66</v>
      </c>
      <c r="K11" s="5" t="s">
        <v>4</v>
      </c>
      <c r="L11" s="5" t="s">
        <v>578</v>
      </c>
    </row>
    <row r="12" s="1" customFormat="1" ht="43.2" customHeight="1" spans="1:12">
      <c r="A12" s="5" t="s">
        <v>579</v>
      </c>
      <c r="B12" s="5" t="s">
        <v>30</v>
      </c>
      <c r="C12" s="5" t="s">
        <v>580</v>
      </c>
      <c r="D12" s="5" t="s">
        <v>581</v>
      </c>
      <c r="E12" s="5" t="s">
        <v>582</v>
      </c>
      <c r="F12" s="5" t="s">
        <v>583</v>
      </c>
      <c r="G12" s="5" t="s">
        <v>584</v>
      </c>
      <c r="H12" s="5" t="s">
        <v>90</v>
      </c>
      <c r="I12" s="5" t="s">
        <v>549</v>
      </c>
      <c r="J12" s="5" t="s">
        <v>66</v>
      </c>
      <c r="K12" s="5" t="s">
        <v>4</v>
      </c>
      <c r="L12" s="5" t="s">
        <v>585</v>
      </c>
    </row>
    <row r="13" s="1" customFormat="1" ht="43.2" customHeight="1" spans="1:12">
      <c r="A13" s="5" t="s">
        <v>586</v>
      </c>
      <c r="B13" s="5" t="s">
        <v>30</v>
      </c>
      <c r="C13" s="5" t="s">
        <v>587</v>
      </c>
      <c r="D13" s="5" t="s">
        <v>588</v>
      </c>
      <c r="E13" s="5" t="s">
        <v>589</v>
      </c>
      <c r="F13" s="5" t="s">
        <v>590</v>
      </c>
      <c r="G13" s="5" t="s">
        <v>591</v>
      </c>
      <c r="H13" s="5" t="s">
        <v>64</v>
      </c>
      <c r="I13" s="5" t="s">
        <v>99</v>
      </c>
      <c r="J13" s="5" t="s">
        <v>100</v>
      </c>
      <c r="K13" s="5" t="s">
        <v>4</v>
      </c>
      <c r="L13" s="5" t="s">
        <v>592</v>
      </c>
    </row>
    <row r="14" s="1" customFormat="1" ht="43.2" customHeight="1" spans="1:12">
      <c r="A14" s="5" t="s">
        <v>593</v>
      </c>
      <c r="B14" s="5" t="s">
        <v>30</v>
      </c>
      <c r="C14" s="5" t="s">
        <v>594</v>
      </c>
      <c r="D14" s="5" t="s">
        <v>595</v>
      </c>
      <c r="E14" s="5" t="s">
        <v>596</v>
      </c>
      <c r="F14" s="5" t="s">
        <v>597</v>
      </c>
      <c r="G14" s="5" t="s">
        <v>598</v>
      </c>
      <c r="H14" s="5" t="s">
        <v>64</v>
      </c>
      <c r="I14" s="5" t="s">
        <v>99</v>
      </c>
      <c r="J14" s="5" t="s">
        <v>100</v>
      </c>
      <c r="K14" s="5" t="s">
        <v>4</v>
      </c>
      <c r="L14" s="5" t="s">
        <v>599</v>
      </c>
    </row>
    <row r="15" s="1" customFormat="1" ht="43.2" customHeight="1" spans="1:12">
      <c r="A15" s="5" t="s">
        <v>600</v>
      </c>
      <c r="B15" s="5" t="s">
        <v>30</v>
      </c>
      <c r="C15" s="5" t="s">
        <v>601</v>
      </c>
      <c r="D15" s="5" t="s">
        <v>602</v>
      </c>
      <c r="E15" s="5" t="s">
        <v>603</v>
      </c>
      <c r="F15" s="5" t="s">
        <v>604</v>
      </c>
      <c r="G15" s="5" t="s">
        <v>605</v>
      </c>
      <c r="H15" s="5" t="s">
        <v>90</v>
      </c>
      <c r="I15" s="5" t="s">
        <v>108</v>
      </c>
      <c r="J15" s="5" t="s">
        <v>100</v>
      </c>
      <c r="K15" s="5" t="s">
        <v>4</v>
      </c>
      <c r="L15" s="5" t="s">
        <v>606</v>
      </c>
    </row>
    <row r="16"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sheetData>
  <mergeCells count="2">
    <mergeCell ref="A1:L1"/>
    <mergeCell ref="A2:L2"/>
  </mergeCells>
  <conditionalFormatting sqref="H5:H200">
    <cfRule type="expression" dxfId="0" priority="1">
      <formula>OR(H5="High",H5="Critical")</formula>
    </cfRule>
  </conditionalFormatting>
  <conditionalFormatting sqref="K5:K200">
    <cfRule type="expression" dxfId="1" priority="2">
      <formula>K5="Pass"</formula>
    </cfRule>
    <cfRule type="expression" dxfId="2" priority="3">
      <formula>K5="Fail"</formula>
    </cfRule>
    <cfRule type="expression" dxfId="3" priority="4">
      <formula>K5="Blocked"</formula>
    </cfRule>
  </conditionalFormatting>
  <dataValidations count="4">
    <dataValidation type="list" allowBlank="1" sqref="H5:H200">
      <formula1>"Critical,High,Medium,Low"</formula1>
    </dataValidation>
    <dataValidation type="list" allowBlank="1" sqref="I5:I200">
      <formula1>"Positive,Negative,Boundary,Security,Regression,Integration,Data"</formula1>
    </dataValidation>
    <dataValidation type="list" allowBlank="1" sqref="J5:J200">
      <formula1>"Yes,No,Later"</formula1>
    </dataValidation>
    <dataValidation type="list" allowBlank="1" sqref="K5:K200">
      <formula1>"Not Run,Pass,Fail,Blocked"</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0"/>
  <sheetViews>
    <sheetView workbookViewId="0">
      <selection activeCell="A1" sqref="A1:L1"/>
    </sheetView>
  </sheetViews>
  <sheetFormatPr defaultColWidth="9" defaultRowHeight="14.4"/>
  <cols>
    <col min="1" max="1" width="10.4444444444444" customWidth="1"/>
    <col min="2" max="2" width="10.5555555555556" customWidth="1"/>
    <col min="3" max="3" width="28" customWidth="1"/>
    <col min="4" max="4" width="23.8888888888889" customWidth="1"/>
    <col min="5" max="5" width="32.2222222222222" customWidth="1"/>
    <col min="6" max="6" width="23.7777777777778" customWidth="1"/>
    <col min="7" max="7" width="31.7777777777778" customWidth="1"/>
    <col min="8" max="8" width="7.33333333333333" customWidth="1"/>
    <col min="9" max="9" width="10.4444444444444" customWidth="1"/>
    <col min="10" max="10" width="20.7777777777778" customWidth="1"/>
    <col min="11" max="11" width="11.5" customWidth="1"/>
    <col min="12" max="12" width="26" customWidth="1"/>
  </cols>
  <sheetData>
    <row r="1" customFormat="1" ht="15.6" customHeight="1" spans="1:12">
      <c r="A1" s="2" t="s">
        <v>607</v>
      </c>
    </row>
    <row r="2" spans="1:12">
      <c r="A2" s="3" t="s">
        <v>47</v>
      </c>
    </row>
    <row r="4" spans="1:12">
      <c r="A4" s="4" t="s">
        <v>48</v>
      </c>
      <c r="B4" s="4" t="s">
        <v>12</v>
      </c>
      <c r="C4" s="4" t="s">
        <v>49</v>
      </c>
      <c r="D4" s="4" t="s">
        <v>50</v>
      </c>
      <c r="E4" s="4" t="s">
        <v>51</v>
      </c>
      <c r="F4" s="4" t="s">
        <v>52</v>
      </c>
      <c r="G4" s="4" t="s">
        <v>53</v>
      </c>
      <c r="H4" s="4" t="s">
        <v>54</v>
      </c>
      <c r="I4" s="4" t="s">
        <v>55</v>
      </c>
      <c r="J4" s="4" t="s">
        <v>56</v>
      </c>
      <c r="K4" s="4" t="s">
        <v>36</v>
      </c>
      <c r="L4" s="4" t="s">
        <v>57</v>
      </c>
    </row>
    <row r="5" s="1" customFormat="1" ht="86.4" customHeight="1" spans="1:12">
      <c r="A5" s="5" t="s">
        <v>608</v>
      </c>
      <c r="B5" s="5" t="s">
        <v>32</v>
      </c>
      <c r="C5" s="5" t="s">
        <v>609</v>
      </c>
      <c r="D5" s="5" t="s">
        <v>610</v>
      </c>
      <c r="E5" s="5" t="s">
        <v>611</v>
      </c>
      <c r="F5" s="5" t="s">
        <v>612</v>
      </c>
      <c r="G5" s="5" t="s">
        <v>613</v>
      </c>
      <c r="H5" s="5" t="s">
        <v>90</v>
      </c>
      <c r="I5" s="5" t="s">
        <v>99</v>
      </c>
      <c r="J5" s="5" t="s">
        <v>100</v>
      </c>
      <c r="K5" s="5" t="s">
        <v>4</v>
      </c>
      <c r="L5" s="5" t="s">
        <v>614</v>
      </c>
    </row>
    <row r="6" s="1" customFormat="1" ht="57.6" customHeight="1" spans="1:12">
      <c r="A6" s="5" t="s">
        <v>615</v>
      </c>
      <c r="B6" s="5" t="s">
        <v>32</v>
      </c>
      <c r="C6" s="5" t="s">
        <v>616</v>
      </c>
      <c r="D6" s="5" t="s">
        <v>617</v>
      </c>
      <c r="E6" s="5" t="s">
        <v>618</v>
      </c>
      <c r="F6" s="5" t="s">
        <v>476</v>
      </c>
      <c r="G6" s="5" t="s">
        <v>619</v>
      </c>
      <c r="H6" s="5" t="s">
        <v>90</v>
      </c>
      <c r="I6" s="5" t="s">
        <v>108</v>
      </c>
      <c r="J6" s="5" t="s">
        <v>100</v>
      </c>
      <c r="K6" s="5" t="s">
        <v>4</v>
      </c>
      <c r="L6" s="5" t="s">
        <v>620</v>
      </c>
    </row>
    <row r="7" s="1" customFormat="1" ht="57.6" customHeight="1" spans="1:12">
      <c r="A7" s="5" t="s">
        <v>621</v>
      </c>
      <c r="B7" s="5" t="s">
        <v>32</v>
      </c>
      <c r="C7" s="5" t="s">
        <v>622</v>
      </c>
      <c r="D7" s="5" t="s">
        <v>623</v>
      </c>
      <c r="E7" s="5" t="s">
        <v>624</v>
      </c>
      <c r="F7" s="5" t="s">
        <v>625</v>
      </c>
      <c r="G7" s="5" t="s">
        <v>626</v>
      </c>
      <c r="H7" s="5" t="s">
        <v>90</v>
      </c>
      <c r="I7" s="5" t="s">
        <v>99</v>
      </c>
      <c r="J7" s="5" t="s">
        <v>100</v>
      </c>
      <c r="K7" s="5" t="s">
        <v>4</v>
      </c>
      <c r="L7" s="5" t="s">
        <v>627</v>
      </c>
    </row>
    <row r="8" s="1" customFormat="1" ht="43.2" customHeight="1" spans="1:12">
      <c r="A8" s="5" t="s">
        <v>628</v>
      </c>
      <c r="B8" s="5" t="s">
        <v>32</v>
      </c>
      <c r="C8" s="5" t="s">
        <v>629</v>
      </c>
      <c r="D8" s="5" t="s">
        <v>630</v>
      </c>
      <c r="E8" s="5" t="s">
        <v>631</v>
      </c>
      <c r="F8" s="5" t="s">
        <v>632</v>
      </c>
      <c r="G8" s="5" t="s">
        <v>633</v>
      </c>
      <c r="H8" s="5" t="s">
        <v>90</v>
      </c>
      <c r="I8" s="5" t="s">
        <v>549</v>
      </c>
      <c r="J8" s="5" t="s">
        <v>100</v>
      </c>
      <c r="K8" s="5" t="s">
        <v>4</v>
      </c>
      <c r="L8" s="5" t="s">
        <v>634</v>
      </c>
    </row>
    <row r="9" s="1" customFormat="1" ht="43.2" customHeight="1" spans="1:12">
      <c r="A9" s="5" t="s">
        <v>635</v>
      </c>
      <c r="B9" s="5" t="s">
        <v>32</v>
      </c>
      <c r="C9" s="5" t="s">
        <v>636</v>
      </c>
      <c r="D9" s="5" t="s">
        <v>637</v>
      </c>
      <c r="E9" s="5" t="s">
        <v>638</v>
      </c>
      <c r="F9" s="5" t="s">
        <v>639</v>
      </c>
      <c r="G9" s="5" t="s">
        <v>640</v>
      </c>
      <c r="H9" s="5" t="s">
        <v>90</v>
      </c>
      <c r="I9" s="5" t="s">
        <v>108</v>
      </c>
      <c r="J9" s="5" t="s">
        <v>100</v>
      </c>
      <c r="K9" s="5" t="s">
        <v>4</v>
      </c>
      <c r="L9" s="5" t="s">
        <v>641</v>
      </c>
    </row>
    <row r="10" s="1" customFormat="1" ht="43.2" customHeight="1" spans="1:12">
      <c r="A10" s="5" t="s">
        <v>642</v>
      </c>
      <c r="B10" s="5" t="s">
        <v>32</v>
      </c>
      <c r="C10" s="5" t="s">
        <v>643</v>
      </c>
      <c r="D10" s="5" t="s">
        <v>644</v>
      </c>
      <c r="E10" s="5" t="s">
        <v>645</v>
      </c>
      <c r="F10" s="5" t="s">
        <v>646</v>
      </c>
      <c r="G10" s="5" t="s">
        <v>647</v>
      </c>
      <c r="H10" s="5" t="s">
        <v>90</v>
      </c>
      <c r="I10" s="5" t="s">
        <v>91</v>
      </c>
      <c r="J10" s="5" t="s">
        <v>100</v>
      </c>
      <c r="K10" s="5" t="s">
        <v>4</v>
      </c>
      <c r="L10" s="5" t="s">
        <v>648</v>
      </c>
    </row>
    <row r="11" s="1" customFormat="1" ht="57.6" customHeight="1" spans="1:12">
      <c r="A11" s="5" t="s">
        <v>649</v>
      </c>
      <c r="B11" s="5" t="s">
        <v>32</v>
      </c>
      <c r="C11" s="5" t="s">
        <v>650</v>
      </c>
      <c r="D11" s="5" t="s">
        <v>651</v>
      </c>
      <c r="E11" s="5" t="s">
        <v>652</v>
      </c>
      <c r="F11" s="5" t="s">
        <v>653</v>
      </c>
      <c r="G11" s="5" t="s">
        <v>654</v>
      </c>
      <c r="H11" s="5" t="s">
        <v>90</v>
      </c>
      <c r="I11" s="5" t="s">
        <v>108</v>
      </c>
      <c r="J11" s="5" t="s">
        <v>100</v>
      </c>
      <c r="K11" s="5" t="s">
        <v>4</v>
      </c>
      <c r="L11" s="5" t="s">
        <v>655</v>
      </c>
    </row>
    <row r="12" s="1" customFormat="1" ht="43.2" customHeight="1" spans="1:12">
      <c r="A12" s="5" t="s">
        <v>656</v>
      </c>
      <c r="B12" s="5" t="s">
        <v>32</v>
      </c>
      <c r="C12" s="5" t="s">
        <v>657</v>
      </c>
      <c r="D12" s="5" t="s">
        <v>658</v>
      </c>
      <c r="E12" s="5" t="s">
        <v>659</v>
      </c>
      <c r="F12" s="5" t="s">
        <v>660</v>
      </c>
      <c r="G12" s="5" t="s">
        <v>661</v>
      </c>
      <c r="H12" s="5" t="s">
        <v>64</v>
      </c>
      <c r="I12" s="5" t="s">
        <v>91</v>
      </c>
      <c r="J12" s="5" t="s">
        <v>66</v>
      </c>
      <c r="K12" s="5" t="s">
        <v>4</v>
      </c>
      <c r="L12" s="5" t="s">
        <v>662</v>
      </c>
    </row>
    <row r="13" s="1" customFormat="1"/>
    <row r="14" s="1" customFormat="1"/>
    <row r="15" s="1" customFormat="1"/>
    <row r="16" s="1" customFormat="1"/>
    <row r="17" s="1" customFormat="1"/>
    <row r="18" s="1" customFormat="1"/>
    <row r="19" s="1" customFormat="1"/>
    <row r="20" s="1" customFormat="1"/>
    <row r="21" s="1" customFormat="1"/>
    <row r="22" s="1" customFormat="1"/>
    <row r="23" s="1" customFormat="1"/>
    <row r="24" s="1" customFormat="1"/>
    <row r="25" s="1" customFormat="1"/>
    <row r="26" s="1" customFormat="1"/>
    <row r="27" s="1" customFormat="1"/>
    <row r="28" s="1" customFormat="1"/>
    <row r="29" s="1" customFormat="1"/>
    <row r="30" s="1" customFormat="1"/>
    <row r="31" s="1" customFormat="1"/>
    <row r="32" s="1" customFormat="1"/>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sheetData>
  <mergeCells count="2">
    <mergeCell ref="A1:L1"/>
    <mergeCell ref="A2:L2"/>
  </mergeCells>
  <conditionalFormatting sqref="H5:H200">
    <cfRule type="expression" dxfId="0" priority="1">
      <formula>OR(H5="High",H5="Critical")</formula>
    </cfRule>
  </conditionalFormatting>
  <conditionalFormatting sqref="K5:K200">
    <cfRule type="expression" dxfId="1" priority="2">
      <formula>K5="Pass"</formula>
    </cfRule>
    <cfRule type="expression" dxfId="2" priority="3">
      <formula>K5="Fail"</formula>
    </cfRule>
    <cfRule type="expression" dxfId="3" priority="4">
      <formula>K5="Blocked"</formula>
    </cfRule>
  </conditionalFormatting>
  <dataValidations count="4">
    <dataValidation type="list" allowBlank="1" sqref="H5:H200">
      <formula1>"Critical,High,Medium,Low"</formula1>
    </dataValidation>
    <dataValidation type="list" allowBlank="1" sqref="I5:I200">
      <formula1>"Positive,Negative,Boundary,Security,Regression,Integration,Data"</formula1>
    </dataValidation>
    <dataValidation type="list" allowBlank="1" sqref="J5:J200">
      <formula1>"Yes,No,Later"</formula1>
    </dataValidation>
    <dataValidation type="list" allowBlank="1" sqref="K5:K200">
      <formula1>"Not Run,Pass,Fail,Blocked"</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9</vt:i4>
      </vt:variant>
    </vt:vector>
  </HeadingPairs>
  <TitlesOfParts>
    <vt:vector size="9" baseType="lpstr">
      <vt:lpstr>Summary</vt:lpstr>
      <vt:lpstr>Setup_Admin</vt:lpstr>
      <vt:lpstr>Customers_CRM</vt:lpstr>
      <vt:lpstr>Sales_Orders</vt:lpstr>
      <vt:lpstr>Components_Pricing</vt:lpstr>
      <vt:lpstr>Financial_Config</vt:lpstr>
      <vt:lpstr>Payments_Recon</vt:lpstr>
      <vt:lpstr>Integrations_Reports</vt:lpstr>
      <vt:lpstr>End_to_End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ramon</cp:lastModifiedBy>
  <dcterms:created xsi:type="dcterms:W3CDTF">2026-04-15T22:05:34Z</dcterms:created>
  <dcterms:modified xsi:type="dcterms:W3CDTF">2026-04-15T22:06:38Z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E905DB3BBB8342C6A552039085801CB1_12</vt:lpwstr>
  </property>
  <property fmtid="{D5CDD505-2E9C-101B-9397-08002B2CF9AE}" pid="3" name="KSOProductBuildVer">
    <vt:lpwstr>1033-12.1.0.25830</vt:lpwstr>
  </property>
  <property fmtid="{D5CDD505-2E9C-101B-9397-08002B2CF9AE}" pid="4" name="CalculationRule">
    <vt:i4>0</vt:i4>
  </property>
</Properties>
</file>